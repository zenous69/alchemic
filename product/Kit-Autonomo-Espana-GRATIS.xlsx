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Facturas" sheetId="2" state="visible" r:id="rId2"/>
    <sheet name="Gastos" sheetId="3" state="visible" r:id="rId3"/>
    <sheet name="Resumen trimestral" sheetId="4" state="visible" r:id="rId4"/>
    <sheet name="Plantilla factura" sheetId="5" state="visible" r:id="rId5"/>
    <sheet name="Lista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%&quot;"/>
    <numFmt numFmtId="165" formatCode="DD/MM/YYYY"/>
    <numFmt numFmtId="166" formatCode="#,##0.00 &quot;€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FFFFFF"/>
      <sz val="11"/>
    </font>
    <font>
      <name val="Calibri"/>
      <b val="1"/>
      <color rgb="001F3A5F"/>
      <sz val="11"/>
    </font>
    <font>
      <name val="Calibri"/>
      <sz val="11"/>
    </font>
    <font>
      <name val="Calibri"/>
      <i val="1"/>
      <color rgb="00666666"/>
      <sz val="9"/>
    </font>
    <font>
      <i val="1"/>
      <color rgb="00A00000"/>
      <sz val="9"/>
    </font>
    <font>
      <name val="Calibri"/>
      <b val="1"/>
      <color rgb="00FFFFFF"/>
      <sz val="12"/>
    </font>
    <font>
      <b val="1"/>
      <color rgb="001F3A5F"/>
      <sz val="1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C8A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2C20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4" fontId="4" fillId="0" borderId="1" pivotButton="0" quotePrefix="0" xfId="0"/>
    <xf numFmtId="166" fontId="4" fillId="5" borderId="1" pivotButton="0" quotePrefix="0" xfId="0"/>
    <xf numFmtId="0" fontId="4" fillId="5" borderId="1" pivotButton="0" quotePrefix="0" xfId="0"/>
    <xf numFmtId="166" fontId="3" fillId="6" borderId="1" pivotButton="0" quotePrefix="0" xfId="0"/>
    <xf numFmtId="0" fontId="3" fillId="4" borderId="1" pivotButton="0" quotePrefix="0" xfId="0"/>
    <xf numFmtId="166" fontId="3" fillId="4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7" fillId="3" borderId="0" pivotButton="0" quotePrefix="0" xfId="0"/>
    <xf numFmtId="0" fontId="0" fillId="4" borderId="1" pivotButton="0" quotePrefix="0" xfId="0"/>
    <xf numFmtId="0" fontId="0" fillId="0" borderId="4" pivotButton="0" quotePrefix="0" xfId="0"/>
    <xf numFmtId="0" fontId="0" fillId="5" borderId="1" pivotButton="0" quotePrefix="0" xfId="0"/>
    <xf numFmtId="1" fontId="0" fillId="0" borderId="1" pivotButton="0" quotePrefix="0" xfId="0"/>
    <xf numFmtId="166" fontId="0" fillId="0" borderId="1" pivotButton="0" quotePrefix="0" xfId="0"/>
    <xf numFmtId="166" fontId="0" fillId="0" borderId="0" pivotButton="0" quotePrefix="0" xfId="0"/>
    <xf numFmtId="0" fontId="8" fillId="0" borderId="0" pivotButton="0" quotePrefix="0" xfId="0"/>
    <xf numFmtId="165" fontId="4" fillId="0" borderId="1" pivotButton="0" quotePrefix="0" xfId="0"/>
    <xf numFmtId="166" fontId="4" fillId="0" borderId="1" pivotButton="0" quotePrefix="0" xfId="0"/>
    <xf numFmtId="166" fontId="4" fillId="5" borderId="1" pivotButton="0" quotePrefix="0" xfId="0"/>
    <xf numFmtId="166" fontId="3" fillId="6" borderId="1" pivotButton="0" quotePrefix="0" xfId="0"/>
    <xf numFmtId="166" fontId="3" fillId="4" borderId="1" pivotButton="0" quotePrefix="0" xfId="0"/>
    <xf numFmtId="0" fontId="8" fillId="6" borderId="0" applyAlignment="1" pivotButton="0" quotePrefix="0" xfId="0">
      <alignment horizontal="center" vertical="center" wrapText="1"/>
    </xf>
    <xf numFmtId="166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4" customWidth="1" min="3" max="3"/>
    <col width="30" customWidth="1" min="4" max="4"/>
    <col width="20" customWidth="1" min="5" max="5"/>
  </cols>
  <sheetData>
    <row r="2" ht="34" customHeight="1">
      <c r="B2" s="1" t="inlineStr">
        <is>
          <t>KIT AUTÓNOMO ESPAÑA</t>
        </is>
      </c>
    </row>
    <row r="3">
      <c r="B3" s="3" t="inlineStr">
        <is>
          <t>VERSIÓN GRATUITA · controla facturas, gastos e IVA (Modelo 303)</t>
        </is>
      </c>
    </row>
    <row r="5">
      <c r="B5" s="5" t="inlineStr">
        <is>
          <t>1 · TUS DATOS (se usan en la plantilla de factura)</t>
        </is>
      </c>
    </row>
    <row r="6">
      <c r="B6" s="6" t="inlineStr">
        <is>
          <t>Nombre y apellidos / Razón social</t>
        </is>
      </c>
      <c r="C6" s="7" t="inlineStr">
        <is>
          <t>Tu Nombre Apellidos</t>
        </is>
      </c>
    </row>
    <row r="7">
      <c r="B7" s="6" t="inlineStr">
        <is>
          <t>NIF / DNI</t>
        </is>
      </c>
      <c r="C7" s="7" t="inlineStr">
        <is>
          <t>00000000X</t>
        </is>
      </c>
    </row>
    <row r="8">
      <c r="B8" s="6" t="inlineStr">
        <is>
          <t>Dirección fiscal</t>
        </is>
      </c>
      <c r="C8" s="7" t="inlineStr">
        <is>
          <t>Calle Ejemplo 1, 28001 Madrid</t>
        </is>
      </c>
    </row>
    <row r="9">
      <c r="B9" s="6" t="inlineStr">
        <is>
          <t>Email / Teléfono</t>
        </is>
      </c>
      <c r="C9" s="7" t="inlineStr">
        <is>
          <t>tucorreo@email.com · 600 000 000</t>
        </is>
      </c>
    </row>
    <row r="10">
      <c r="B10" s="6" t="inlineStr">
        <is>
          <t>Ejercicio (año)</t>
        </is>
      </c>
      <c r="C10" s="7" t="n">
        <v>2026</v>
      </c>
    </row>
    <row r="12">
      <c r="B12" s="5" t="inlineStr">
        <is>
          <t>2 · PREFERENCIAS FISCALES</t>
        </is>
      </c>
    </row>
    <row r="13">
      <c r="B13" s="6" t="inlineStr">
        <is>
          <t>Tipo de IVA habitual (%)</t>
        </is>
      </c>
      <c r="C13" s="8" t="n">
        <v>21</v>
      </c>
      <c r="D13" s="9" t="inlineStr">
        <is>
          <t>21 general · 10 reducido · 4 superreducido · 0 exento</t>
        </is>
      </c>
    </row>
    <row r="14">
      <c r="B14" s="6" t="inlineStr">
        <is>
          <t>Tipo de retención IRPF en factura (%)</t>
        </is>
      </c>
      <c r="C14" s="8" t="n">
        <v>15</v>
      </c>
      <c r="D14" s="9" t="inlineStr">
        <is>
          <t>15 general · 7 nuevos autónomos (año alta + 2 siguientes)</t>
        </is>
      </c>
    </row>
    <row r="15">
      <c r="B15" s="6" t="inlineStr">
        <is>
          <t>% de tu facturación con retención</t>
        </is>
      </c>
      <c r="C15" s="8" t="n">
        <v>100</v>
      </c>
      <c r="D15" s="9" t="inlineStr">
        <is>
          <t>Si ≥ 70% lleva retención, estás EXENTO de Modelo 130</t>
        </is>
      </c>
    </row>
    <row r="18">
      <c r="B18" s="10" t="inlineStr">
        <is>
          <t>3 · CÓMO USAR EL KIT</t>
        </is>
      </c>
    </row>
    <row r="19">
      <c r="B19" s="11" t="inlineStr">
        <is>
          <t>①  Rellena tus datos y preferencias arriba.</t>
        </is>
      </c>
    </row>
    <row r="20">
      <c r="B20" s="11" t="inlineStr">
        <is>
          <t>②  Apunta cada factura emitida en la pestaña «Facturas».</t>
        </is>
      </c>
    </row>
    <row r="21">
      <c r="B21" s="11" t="inlineStr">
        <is>
          <t>③  Apunta cada gasto deducible en la pestaña «Gastos».</t>
        </is>
      </c>
    </row>
    <row r="22">
      <c r="B22" s="11" t="inlineStr">
        <is>
          <t>④  Mira «Resumen trimestral»: te dice qué pagar en el Modelo 303 (IVA) y 130 (IRPF).</t>
        </is>
      </c>
    </row>
    <row r="23">
      <c r="B23" s="11" t="inlineStr">
        <is>
          <t>⑤  Usa «Plantilla factura» para emitir facturas con tus datos ya cargados.</t>
        </is>
      </c>
    </row>
    <row r="24">
      <c r="B24" s="11" t="inlineStr"/>
    </row>
    <row r="25">
      <c r="B25" s="11" t="inlineStr">
        <is>
          <t>Las columnas en gris se calculan solas. No las toques: escribe solo en las blancas.</t>
        </is>
      </c>
    </row>
    <row r="27">
      <c r="B27" s="12" t="inlineStr">
        <is>
          <t>AVISO: Esta hoja es una herramienta de organización, NO asesoramiento fiscal. Los tipos y reglas pueden cambiar y existen casos particulares (recargo de equivalencia, operaciones intracomunitarias, módulos, etc.). Verifica siempre con tu asesor o con la Agencia Tributaria antes de presentar cualquier modelo.</t>
        </is>
      </c>
    </row>
    <row r="28"/>
    <row r="29"/>
    <row r="40">
      <c r="B40" s="32" t="inlineStr">
        <is>
          <t>👉 Versión completa (Modelo 130 + resumen anual + Guía PDF): https://TU-ENLACE-DE-VENTA</t>
        </is>
      </c>
    </row>
  </sheetData>
  <mergeCells count="12">
    <mergeCell ref="B23:E23"/>
    <mergeCell ref="B18:E18"/>
    <mergeCell ref="B40:E40"/>
    <mergeCell ref="B21:E21"/>
    <mergeCell ref="B25:E25"/>
    <mergeCell ref="B3:E3"/>
    <mergeCell ref="B19:E19"/>
    <mergeCell ref="B20:E20"/>
    <mergeCell ref="B2:E2"/>
    <mergeCell ref="B24:E24"/>
    <mergeCell ref="B27:E29"/>
    <mergeCell ref="B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3" customWidth="1" min="4" max="4"/>
    <col width="14" customWidth="1" min="5" max="5"/>
    <col width="7" customWidth="1" min="6" max="6"/>
    <col width="12" customWidth="1" min="7" max="7"/>
    <col width="7" customWidth="1" min="8" max="8"/>
    <col width="13" customWidth="1" min="9" max="9"/>
    <col width="13" customWidth="1" min="10" max="10"/>
    <col width="11" customWidth="1" min="11" max="11"/>
    <col width="7" customWidth="1" min="12" max="12"/>
  </cols>
  <sheetData>
    <row r="1" ht="28" customHeight="1">
      <c r="A1" s="13" t="inlineStr">
        <is>
          <t>FACTURAS EMITIDAS  ·  ingresos</t>
        </is>
      </c>
    </row>
    <row r="2">
      <c r="A2" s="14" t="inlineStr">
        <is>
          <t>Fecha</t>
        </is>
      </c>
      <c r="B2" s="14" t="inlineStr">
        <is>
          <t>Nº Factura</t>
        </is>
      </c>
      <c r="C2" s="14" t="inlineStr">
        <is>
          <t>Cliente</t>
        </is>
      </c>
      <c r="D2" s="14" t="inlineStr">
        <is>
          <t>NIF cliente</t>
        </is>
      </c>
      <c r="E2" s="14" t="inlineStr">
        <is>
          <t>Base imponible</t>
        </is>
      </c>
      <c r="F2" s="14" t="inlineStr">
        <is>
          <t>IVA %</t>
        </is>
      </c>
      <c r="G2" s="14" t="inlineStr">
        <is>
          <t>Cuota IVA</t>
        </is>
      </c>
      <c r="H2" s="14" t="inlineStr">
        <is>
          <t>IRPF %</t>
        </is>
      </c>
      <c r="I2" s="14" t="inlineStr">
        <is>
          <t>Retención IRPF</t>
        </is>
      </c>
      <c r="J2" s="14" t="inlineStr">
        <is>
          <t>Total factura</t>
        </is>
      </c>
      <c r="K2" s="14" t="inlineStr">
        <is>
          <t>¿Cobrada?</t>
        </is>
      </c>
      <c r="L2" s="14" t="inlineStr">
        <is>
          <t>Trim.</t>
        </is>
      </c>
    </row>
    <row r="3">
      <c r="A3" s="33" t="n">
        <v>46037</v>
      </c>
      <c r="B3" s="16" t="inlineStr">
        <is>
          <t>2026-001</t>
        </is>
      </c>
      <c r="C3" s="16" t="inlineStr">
        <is>
          <t>Cliente Ejemplo S.L.</t>
        </is>
      </c>
      <c r="D3" s="16" t="inlineStr">
        <is>
          <t>B12345678</t>
        </is>
      </c>
      <c r="E3" s="34" t="n">
        <v>1000</v>
      </c>
      <c r="F3" s="18" t="n">
        <v>21</v>
      </c>
      <c r="G3" s="35">
        <f>IF($E3="","",$E3*$F3/100)</f>
        <v/>
      </c>
      <c r="H3" s="18" t="n">
        <v>15</v>
      </c>
      <c r="I3" s="35">
        <f>IF($E3="","",$E3*$H3/100)</f>
        <v/>
      </c>
      <c r="J3" s="35">
        <f>IF($E3="","",$E3+$G3-$I3)</f>
        <v/>
      </c>
      <c r="K3" s="16" t="inlineStr">
        <is>
          <t>Sí</t>
        </is>
      </c>
      <c r="L3" s="20">
        <f>IF($A3="","",ROUNDUP(MONTH($A3)/3,0))</f>
        <v/>
      </c>
    </row>
    <row r="4">
      <c r="A4" s="33" t="n">
        <v>46056</v>
      </c>
      <c r="B4" s="16" t="inlineStr">
        <is>
          <t>2026-002</t>
        </is>
      </c>
      <c r="C4" s="16" t="inlineStr">
        <is>
          <t>Autónomo Pérez</t>
        </is>
      </c>
      <c r="D4" s="16" t="inlineStr">
        <is>
          <t>12345678Z</t>
        </is>
      </c>
      <c r="E4" s="34" t="n">
        <v>450</v>
      </c>
      <c r="F4" s="18" t="n">
        <v>21</v>
      </c>
      <c r="G4" s="35">
        <f>IF($E4="","",$E4*$F4/100)</f>
        <v/>
      </c>
      <c r="H4" s="18" t="n">
        <v>15</v>
      </c>
      <c r="I4" s="35">
        <f>IF($E4="","",$E4*$H4/100)</f>
        <v/>
      </c>
      <c r="J4" s="35">
        <f>IF($E4="","",$E4+$G4-$I4)</f>
        <v/>
      </c>
      <c r="K4" s="16" t="inlineStr">
        <is>
          <t>No</t>
        </is>
      </c>
      <c r="L4" s="20">
        <f>IF($A4="","",ROUNDUP(MONTH($A4)/3,0))</f>
        <v/>
      </c>
    </row>
    <row r="5">
      <c r="A5" s="33" t="n"/>
      <c r="B5" s="16" t="n"/>
      <c r="C5" s="16" t="n"/>
      <c r="D5" s="16" t="n"/>
      <c r="E5" s="34" t="n"/>
      <c r="F5" s="18" t="n"/>
      <c r="G5" s="35">
        <f>IF($E5="","",$E5*$F5/100)</f>
        <v/>
      </c>
      <c r="H5" s="18" t="n"/>
      <c r="I5" s="35">
        <f>IF($E5="","",$E5*$H5/100)</f>
        <v/>
      </c>
      <c r="J5" s="35">
        <f>IF($E5="","",$E5+$G5-$I5)</f>
        <v/>
      </c>
      <c r="K5" s="16" t="n"/>
      <c r="L5" s="20">
        <f>IF($A5="","",ROUNDUP(MONTH($A5)/3,0))</f>
        <v/>
      </c>
    </row>
    <row r="6">
      <c r="A6" s="33" t="n"/>
      <c r="B6" s="16" t="n"/>
      <c r="C6" s="16" t="n"/>
      <c r="D6" s="16" t="n"/>
      <c r="E6" s="34" t="n"/>
      <c r="F6" s="18" t="n"/>
      <c r="G6" s="35">
        <f>IF($E6="","",$E6*$F6/100)</f>
        <v/>
      </c>
      <c r="H6" s="18" t="n"/>
      <c r="I6" s="35">
        <f>IF($E6="","",$E6*$H6/100)</f>
        <v/>
      </c>
      <c r="J6" s="35">
        <f>IF($E6="","",$E6+$G6-$I6)</f>
        <v/>
      </c>
      <c r="K6" s="16" t="n"/>
      <c r="L6" s="20">
        <f>IF($A6="","",ROUNDUP(MONTH($A6)/3,0))</f>
        <v/>
      </c>
    </row>
    <row r="7">
      <c r="A7" s="33" t="n"/>
      <c r="B7" s="16" t="n"/>
      <c r="C7" s="16" t="n"/>
      <c r="D7" s="16" t="n"/>
      <c r="E7" s="34" t="n"/>
      <c r="F7" s="18" t="n"/>
      <c r="G7" s="35">
        <f>IF($E7="","",$E7*$F7/100)</f>
        <v/>
      </c>
      <c r="H7" s="18" t="n"/>
      <c r="I7" s="35">
        <f>IF($E7="","",$E7*$H7/100)</f>
        <v/>
      </c>
      <c r="J7" s="35">
        <f>IF($E7="","",$E7+$G7-$I7)</f>
        <v/>
      </c>
      <c r="K7" s="16" t="n"/>
      <c r="L7" s="20">
        <f>IF($A7="","",ROUNDUP(MONTH($A7)/3,0))</f>
        <v/>
      </c>
    </row>
    <row r="8">
      <c r="A8" s="33" t="n"/>
      <c r="B8" s="16" t="n"/>
      <c r="C8" s="16" t="n"/>
      <c r="D8" s="16" t="n"/>
      <c r="E8" s="34" t="n"/>
      <c r="F8" s="18" t="n"/>
      <c r="G8" s="35">
        <f>IF($E8="","",$E8*$F8/100)</f>
        <v/>
      </c>
      <c r="H8" s="18" t="n"/>
      <c r="I8" s="35">
        <f>IF($E8="","",$E8*$H8/100)</f>
        <v/>
      </c>
      <c r="J8" s="35">
        <f>IF($E8="","",$E8+$G8-$I8)</f>
        <v/>
      </c>
      <c r="K8" s="16" t="n"/>
      <c r="L8" s="20">
        <f>IF($A8="","",ROUNDUP(MONTH($A8)/3,0))</f>
        <v/>
      </c>
    </row>
    <row r="9">
      <c r="A9" s="33" t="n"/>
      <c r="B9" s="16" t="n"/>
      <c r="C9" s="16" t="n"/>
      <c r="D9" s="16" t="n"/>
      <c r="E9" s="34" t="n"/>
      <c r="F9" s="18" t="n"/>
      <c r="G9" s="35">
        <f>IF($E9="","",$E9*$F9/100)</f>
        <v/>
      </c>
      <c r="H9" s="18" t="n"/>
      <c r="I9" s="35">
        <f>IF($E9="","",$E9*$H9/100)</f>
        <v/>
      </c>
      <c r="J9" s="35">
        <f>IF($E9="","",$E9+$G9-$I9)</f>
        <v/>
      </c>
      <c r="K9" s="16" t="n"/>
      <c r="L9" s="20">
        <f>IF($A9="","",ROUNDUP(MONTH($A9)/3,0))</f>
        <v/>
      </c>
    </row>
    <row r="10">
      <c r="A10" s="33" t="n"/>
      <c r="B10" s="16" t="n"/>
      <c r="C10" s="16" t="n"/>
      <c r="D10" s="16" t="n"/>
      <c r="E10" s="34" t="n"/>
      <c r="F10" s="18" t="n"/>
      <c r="G10" s="35">
        <f>IF($E10="","",$E10*$F10/100)</f>
        <v/>
      </c>
      <c r="H10" s="18" t="n"/>
      <c r="I10" s="35">
        <f>IF($E10="","",$E10*$H10/100)</f>
        <v/>
      </c>
      <c r="J10" s="35">
        <f>IF($E10="","",$E10+$G10-$I10)</f>
        <v/>
      </c>
      <c r="K10" s="16" t="n"/>
      <c r="L10" s="20">
        <f>IF($A10="","",ROUNDUP(MONTH($A10)/3,0))</f>
        <v/>
      </c>
    </row>
    <row r="11">
      <c r="A11" s="33" t="n"/>
      <c r="B11" s="16" t="n"/>
      <c r="C11" s="16" t="n"/>
      <c r="D11" s="16" t="n"/>
      <c r="E11" s="34" t="n"/>
      <c r="F11" s="18" t="n"/>
      <c r="G11" s="35">
        <f>IF($E11="","",$E11*$F11/100)</f>
        <v/>
      </c>
      <c r="H11" s="18" t="n"/>
      <c r="I11" s="35">
        <f>IF($E11="","",$E11*$H11/100)</f>
        <v/>
      </c>
      <c r="J11" s="35">
        <f>IF($E11="","",$E11+$G11-$I11)</f>
        <v/>
      </c>
      <c r="K11" s="16" t="n"/>
      <c r="L11" s="20">
        <f>IF($A11="","",ROUNDUP(MONTH($A11)/3,0))</f>
        <v/>
      </c>
    </row>
    <row r="12">
      <c r="A12" s="33" t="n"/>
      <c r="B12" s="16" t="n"/>
      <c r="C12" s="16" t="n"/>
      <c r="D12" s="16" t="n"/>
      <c r="E12" s="34" t="n"/>
      <c r="F12" s="18" t="n"/>
      <c r="G12" s="35">
        <f>IF($E12="","",$E12*$F12/100)</f>
        <v/>
      </c>
      <c r="H12" s="18" t="n"/>
      <c r="I12" s="35">
        <f>IF($E12="","",$E12*$H12/100)</f>
        <v/>
      </c>
      <c r="J12" s="35">
        <f>IF($E12="","",$E12+$G12-$I12)</f>
        <v/>
      </c>
      <c r="K12" s="16" t="n"/>
      <c r="L12" s="20">
        <f>IF($A12="","",ROUNDUP(MONTH($A12)/3,0))</f>
        <v/>
      </c>
    </row>
    <row r="13">
      <c r="A13" s="33" t="n"/>
      <c r="B13" s="16" t="n"/>
      <c r="C13" s="16" t="n"/>
      <c r="D13" s="16" t="n"/>
      <c r="E13" s="34" t="n"/>
      <c r="F13" s="18" t="n"/>
      <c r="G13" s="35">
        <f>IF($E13="","",$E13*$F13/100)</f>
        <v/>
      </c>
      <c r="H13" s="18" t="n"/>
      <c r="I13" s="35">
        <f>IF($E13="","",$E13*$H13/100)</f>
        <v/>
      </c>
      <c r="J13" s="35">
        <f>IF($E13="","",$E13+$G13-$I13)</f>
        <v/>
      </c>
      <c r="K13" s="16" t="n"/>
      <c r="L13" s="20">
        <f>IF($A13="","",ROUNDUP(MONTH($A13)/3,0))</f>
        <v/>
      </c>
    </row>
    <row r="14">
      <c r="A14" s="33" t="n"/>
      <c r="B14" s="16" t="n"/>
      <c r="C14" s="16" t="n"/>
      <c r="D14" s="16" t="n"/>
      <c r="E14" s="34" t="n"/>
      <c r="F14" s="18" t="n"/>
      <c r="G14" s="35">
        <f>IF($E14="","",$E14*$F14/100)</f>
        <v/>
      </c>
      <c r="H14" s="18" t="n"/>
      <c r="I14" s="35">
        <f>IF($E14="","",$E14*$H14/100)</f>
        <v/>
      </c>
      <c r="J14" s="35">
        <f>IF($E14="","",$E14+$G14-$I14)</f>
        <v/>
      </c>
      <c r="K14" s="16" t="n"/>
      <c r="L14" s="20">
        <f>IF($A14="","",ROUNDUP(MONTH($A14)/3,0))</f>
        <v/>
      </c>
    </row>
    <row r="15">
      <c r="A15" s="33" t="n"/>
      <c r="B15" s="16" t="n"/>
      <c r="C15" s="16" t="n"/>
      <c r="D15" s="16" t="n"/>
      <c r="E15" s="34" t="n"/>
      <c r="F15" s="18" t="n"/>
      <c r="G15" s="35">
        <f>IF($E15="","",$E15*$F15/100)</f>
        <v/>
      </c>
      <c r="H15" s="18" t="n"/>
      <c r="I15" s="35">
        <f>IF($E15="","",$E15*$H15/100)</f>
        <v/>
      </c>
      <c r="J15" s="35">
        <f>IF($E15="","",$E15+$G15-$I15)</f>
        <v/>
      </c>
      <c r="K15" s="16" t="n"/>
      <c r="L15" s="20">
        <f>IF($A15="","",ROUNDUP(MONTH($A15)/3,0))</f>
        <v/>
      </c>
    </row>
    <row r="16">
      <c r="A16" s="33" t="n"/>
      <c r="B16" s="16" t="n"/>
      <c r="C16" s="16" t="n"/>
      <c r="D16" s="16" t="n"/>
      <c r="E16" s="34" t="n"/>
      <c r="F16" s="18" t="n"/>
      <c r="G16" s="35">
        <f>IF($E16="","",$E16*$F16/100)</f>
        <v/>
      </c>
      <c r="H16" s="18" t="n"/>
      <c r="I16" s="35">
        <f>IF($E16="","",$E16*$H16/100)</f>
        <v/>
      </c>
      <c r="J16" s="35">
        <f>IF($E16="","",$E16+$G16-$I16)</f>
        <v/>
      </c>
      <c r="K16" s="16" t="n"/>
      <c r="L16" s="20">
        <f>IF($A16="","",ROUNDUP(MONTH($A16)/3,0))</f>
        <v/>
      </c>
    </row>
    <row r="17">
      <c r="A17" s="33" t="n"/>
      <c r="B17" s="16" t="n"/>
      <c r="C17" s="16" t="n"/>
      <c r="D17" s="16" t="n"/>
      <c r="E17" s="34" t="n"/>
      <c r="F17" s="18" t="n"/>
      <c r="G17" s="35">
        <f>IF($E17="","",$E17*$F17/100)</f>
        <v/>
      </c>
      <c r="H17" s="18" t="n"/>
      <c r="I17" s="35">
        <f>IF($E17="","",$E17*$H17/100)</f>
        <v/>
      </c>
      <c r="J17" s="35">
        <f>IF($E17="","",$E17+$G17-$I17)</f>
        <v/>
      </c>
      <c r="K17" s="16" t="n"/>
      <c r="L17" s="20">
        <f>IF($A17="","",ROUNDUP(MONTH($A17)/3,0))</f>
        <v/>
      </c>
    </row>
    <row r="18">
      <c r="A18" s="33" t="n"/>
      <c r="B18" s="16" t="n"/>
      <c r="C18" s="16" t="n"/>
      <c r="D18" s="16" t="n"/>
      <c r="E18" s="34" t="n"/>
      <c r="F18" s="18" t="n"/>
      <c r="G18" s="35">
        <f>IF($E18="","",$E18*$F18/100)</f>
        <v/>
      </c>
      <c r="H18" s="18" t="n"/>
      <c r="I18" s="35">
        <f>IF($E18="","",$E18*$H18/100)</f>
        <v/>
      </c>
      <c r="J18" s="35">
        <f>IF($E18="","",$E18+$G18-$I18)</f>
        <v/>
      </c>
      <c r="K18" s="16" t="n"/>
      <c r="L18" s="20">
        <f>IF($A18="","",ROUNDUP(MONTH($A18)/3,0))</f>
        <v/>
      </c>
    </row>
    <row r="19">
      <c r="A19" s="33" t="n"/>
      <c r="B19" s="16" t="n"/>
      <c r="C19" s="16" t="n"/>
      <c r="D19" s="16" t="n"/>
      <c r="E19" s="34" t="n"/>
      <c r="F19" s="18" t="n"/>
      <c r="G19" s="35">
        <f>IF($E19="","",$E19*$F19/100)</f>
        <v/>
      </c>
      <c r="H19" s="18" t="n"/>
      <c r="I19" s="35">
        <f>IF($E19="","",$E19*$H19/100)</f>
        <v/>
      </c>
      <c r="J19" s="35">
        <f>IF($E19="","",$E19+$G19-$I19)</f>
        <v/>
      </c>
      <c r="K19" s="16" t="n"/>
      <c r="L19" s="20">
        <f>IF($A19="","",ROUNDUP(MONTH($A19)/3,0))</f>
        <v/>
      </c>
    </row>
    <row r="20">
      <c r="A20" s="33" t="n"/>
      <c r="B20" s="16" t="n"/>
      <c r="C20" s="16" t="n"/>
      <c r="D20" s="16" t="n"/>
      <c r="E20" s="34" t="n"/>
      <c r="F20" s="18" t="n"/>
      <c r="G20" s="35">
        <f>IF($E20="","",$E20*$F20/100)</f>
        <v/>
      </c>
      <c r="H20" s="18" t="n"/>
      <c r="I20" s="35">
        <f>IF($E20="","",$E20*$H20/100)</f>
        <v/>
      </c>
      <c r="J20" s="35">
        <f>IF($E20="","",$E20+$G20-$I20)</f>
        <v/>
      </c>
      <c r="K20" s="16" t="n"/>
      <c r="L20" s="20">
        <f>IF($A20="","",ROUNDUP(MONTH($A20)/3,0))</f>
        <v/>
      </c>
    </row>
    <row r="21">
      <c r="A21" s="33" t="n"/>
      <c r="B21" s="16" t="n"/>
      <c r="C21" s="16" t="n"/>
      <c r="D21" s="16" t="n"/>
      <c r="E21" s="34" t="n"/>
      <c r="F21" s="18" t="n"/>
      <c r="G21" s="35">
        <f>IF($E21="","",$E21*$F21/100)</f>
        <v/>
      </c>
      <c r="H21" s="18" t="n"/>
      <c r="I21" s="35">
        <f>IF($E21="","",$E21*$H21/100)</f>
        <v/>
      </c>
      <c r="J21" s="35">
        <f>IF($E21="","",$E21+$G21-$I21)</f>
        <v/>
      </c>
      <c r="K21" s="16" t="n"/>
      <c r="L21" s="20">
        <f>IF($A21="","",ROUNDUP(MONTH($A21)/3,0))</f>
        <v/>
      </c>
    </row>
    <row r="22">
      <c r="A22" s="33" t="n"/>
      <c r="B22" s="16" t="n"/>
      <c r="C22" s="16" t="n"/>
      <c r="D22" s="16" t="n"/>
      <c r="E22" s="34" t="n"/>
      <c r="F22" s="18" t="n"/>
      <c r="G22" s="35">
        <f>IF($E22="","",$E22*$F22/100)</f>
        <v/>
      </c>
      <c r="H22" s="18" t="n"/>
      <c r="I22" s="35">
        <f>IF($E22="","",$E22*$H22/100)</f>
        <v/>
      </c>
      <c r="J22" s="35">
        <f>IF($E22="","",$E22+$G22-$I22)</f>
        <v/>
      </c>
      <c r="K22" s="16" t="n"/>
      <c r="L22" s="20">
        <f>IF($A22="","",ROUNDUP(MONTH($A22)/3,0))</f>
        <v/>
      </c>
    </row>
    <row r="23">
      <c r="A23" s="33" t="n"/>
      <c r="B23" s="16" t="n"/>
      <c r="C23" s="16" t="n"/>
      <c r="D23" s="16" t="n"/>
      <c r="E23" s="34" t="n"/>
      <c r="F23" s="18" t="n"/>
      <c r="G23" s="35">
        <f>IF($E23="","",$E23*$F23/100)</f>
        <v/>
      </c>
      <c r="H23" s="18" t="n"/>
      <c r="I23" s="35">
        <f>IF($E23="","",$E23*$H23/100)</f>
        <v/>
      </c>
      <c r="J23" s="35">
        <f>IF($E23="","",$E23+$G23-$I23)</f>
        <v/>
      </c>
      <c r="K23" s="16" t="n"/>
      <c r="L23" s="20">
        <f>IF($A23="","",ROUNDUP(MONTH($A23)/3,0))</f>
        <v/>
      </c>
    </row>
    <row r="24">
      <c r="A24" s="33" t="n"/>
      <c r="B24" s="16" t="n"/>
      <c r="C24" s="16" t="n"/>
      <c r="D24" s="16" t="n"/>
      <c r="E24" s="34" t="n"/>
      <c r="F24" s="18" t="n"/>
      <c r="G24" s="35">
        <f>IF($E24="","",$E24*$F24/100)</f>
        <v/>
      </c>
      <c r="H24" s="18" t="n"/>
      <c r="I24" s="35">
        <f>IF($E24="","",$E24*$H24/100)</f>
        <v/>
      </c>
      <c r="J24" s="35">
        <f>IF($E24="","",$E24+$G24-$I24)</f>
        <v/>
      </c>
      <c r="K24" s="16" t="n"/>
      <c r="L24" s="20">
        <f>IF($A24="","",ROUNDUP(MONTH($A24)/3,0))</f>
        <v/>
      </c>
    </row>
    <row r="25">
      <c r="A25" s="33" t="n"/>
      <c r="B25" s="16" t="n"/>
      <c r="C25" s="16" t="n"/>
      <c r="D25" s="16" t="n"/>
      <c r="E25" s="34" t="n"/>
      <c r="F25" s="18" t="n"/>
      <c r="G25" s="35">
        <f>IF($E25="","",$E25*$F25/100)</f>
        <v/>
      </c>
      <c r="H25" s="18" t="n"/>
      <c r="I25" s="35">
        <f>IF($E25="","",$E25*$H25/100)</f>
        <v/>
      </c>
      <c r="J25" s="35">
        <f>IF($E25="","",$E25+$G25-$I25)</f>
        <v/>
      </c>
      <c r="K25" s="16" t="n"/>
      <c r="L25" s="20">
        <f>IF($A25="","",ROUNDUP(MONTH($A25)/3,0))</f>
        <v/>
      </c>
    </row>
    <row r="26">
      <c r="A26" s="33" t="n"/>
      <c r="B26" s="16" t="n"/>
      <c r="C26" s="16" t="n"/>
      <c r="D26" s="16" t="n"/>
      <c r="E26" s="34" t="n"/>
      <c r="F26" s="18" t="n"/>
      <c r="G26" s="35">
        <f>IF($E26="","",$E26*$F26/100)</f>
        <v/>
      </c>
      <c r="H26" s="18" t="n"/>
      <c r="I26" s="35">
        <f>IF($E26="","",$E26*$H26/100)</f>
        <v/>
      </c>
      <c r="J26" s="35">
        <f>IF($E26="","",$E26+$G26-$I26)</f>
        <v/>
      </c>
      <c r="K26" s="16" t="n"/>
      <c r="L26" s="20">
        <f>IF($A26="","",ROUNDUP(MONTH($A26)/3,0))</f>
        <v/>
      </c>
    </row>
    <row r="27">
      <c r="A27" s="33" t="n"/>
      <c r="B27" s="16" t="n"/>
      <c r="C27" s="16" t="n"/>
      <c r="D27" s="16" t="n"/>
      <c r="E27" s="34" t="n"/>
      <c r="F27" s="18" t="n"/>
      <c r="G27" s="35">
        <f>IF($E27="","",$E27*$F27/100)</f>
        <v/>
      </c>
      <c r="H27" s="18" t="n"/>
      <c r="I27" s="35">
        <f>IF($E27="","",$E27*$H27/100)</f>
        <v/>
      </c>
      <c r="J27" s="35">
        <f>IF($E27="","",$E27+$G27-$I27)</f>
        <v/>
      </c>
      <c r="K27" s="16" t="n"/>
      <c r="L27" s="20">
        <f>IF($A27="","",ROUNDUP(MONTH($A27)/3,0))</f>
        <v/>
      </c>
    </row>
    <row r="28">
      <c r="A28" s="33" t="n"/>
      <c r="B28" s="16" t="n"/>
      <c r="C28" s="16" t="n"/>
      <c r="D28" s="16" t="n"/>
      <c r="E28" s="34" t="n"/>
      <c r="F28" s="18" t="n"/>
      <c r="G28" s="35">
        <f>IF($E28="","",$E28*$F28/100)</f>
        <v/>
      </c>
      <c r="H28" s="18" t="n"/>
      <c r="I28" s="35">
        <f>IF($E28="","",$E28*$H28/100)</f>
        <v/>
      </c>
      <c r="J28" s="35">
        <f>IF($E28="","",$E28+$G28-$I28)</f>
        <v/>
      </c>
      <c r="K28" s="16" t="n"/>
      <c r="L28" s="20">
        <f>IF($A28="","",ROUNDUP(MONTH($A28)/3,0))</f>
        <v/>
      </c>
    </row>
    <row r="29">
      <c r="A29" s="33" t="n"/>
      <c r="B29" s="16" t="n"/>
      <c r="C29" s="16" t="n"/>
      <c r="D29" s="16" t="n"/>
      <c r="E29" s="34" t="n"/>
      <c r="F29" s="18" t="n"/>
      <c r="G29" s="35">
        <f>IF($E29="","",$E29*$F29/100)</f>
        <v/>
      </c>
      <c r="H29" s="18" t="n"/>
      <c r="I29" s="35">
        <f>IF($E29="","",$E29*$H29/100)</f>
        <v/>
      </c>
      <c r="J29" s="35">
        <f>IF($E29="","",$E29+$G29-$I29)</f>
        <v/>
      </c>
      <c r="K29" s="16" t="n"/>
      <c r="L29" s="20">
        <f>IF($A29="","",ROUNDUP(MONTH($A29)/3,0))</f>
        <v/>
      </c>
    </row>
    <row r="30">
      <c r="A30" s="33" t="n"/>
      <c r="B30" s="16" t="n"/>
      <c r="C30" s="16" t="n"/>
      <c r="D30" s="16" t="n"/>
      <c r="E30" s="34" t="n"/>
      <c r="F30" s="18" t="n"/>
      <c r="G30" s="35">
        <f>IF($E30="","",$E30*$F30/100)</f>
        <v/>
      </c>
      <c r="H30" s="18" t="n"/>
      <c r="I30" s="35">
        <f>IF($E30="","",$E30*$H30/100)</f>
        <v/>
      </c>
      <c r="J30" s="35">
        <f>IF($E30="","",$E30+$G30-$I30)</f>
        <v/>
      </c>
      <c r="K30" s="16" t="n"/>
      <c r="L30" s="20">
        <f>IF($A30="","",ROUNDUP(MONTH($A30)/3,0))</f>
        <v/>
      </c>
    </row>
    <row r="31">
      <c r="A31" s="33" t="n"/>
      <c r="B31" s="16" t="n"/>
      <c r="C31" s="16" t="n"/>
      <c r="D31" s="16" t="n"/>
      <c r="E31" s="34" t="n"/>
      <c r="F31" s="18" t="n"/>
      <c r="G31" s="35">
        <f>IF($E31="","",$E31*$F31/100)</f>
        <v/>
      </c>
      <c r="H31" s="18" t="n"/>
      <c r="I31" s="35">
        <f>IF($E31="","",$E31*$H31/100)</f>
        <v/>
      </c>
      <c r="J31" s="35">
        <f>IF($E31="","",$E31+$G31-$I31)</f>
        <v/>
      </c>
      <c r="K31" s="16" t="n"/>
      <c r="L31" s="20">
        <f>IF($A31="","",ROUNDUP(MONTH($A31)/3,0))</f>
        <v/>
      </c>
    </row>
    <row r="32">
      <c r="A32" s="33" t="n"/>
      <c r="B32" s="16" t="n"/>
      <c r="C32" s="16" t="n"/>
      <c r="D32" s="16" t="n"/>
      <c r="E32" s="34" t="n"/>
      <c r="F32" s="18" t="n"/>
      <c r="G32" s="35">
        <f>IF($E32="","",$E32*$F32/100)</f>
        <v/>
      </c>
      <c r="H32" s="18" t="n"/>
      <c r="I32" s="35">
        <f>IF($E32="","",$E32*$H32/100)</f>
        <v/>
      </c>
      <c r="J32" s="35">
        <f>IF($E32="","",$E32+$G32-$I32)</f>
        <v/>
      </c>
      <c r="K32" s="16" t="n"/>
      <c r="L32" s="20">
        <f>IF($A32="","",ROUNDUP(MONTH($A32)/3,0))</f>
        <v/>
      </c>
    </row>
    <row r="33">
      <c r="A33" s="33" t="n"/>
      <c r="B33" s="16" t="n"/>
      <c r="C33" s="16" t="n"/>
      <c r="D33" s="16" t="n"/>
      <c r="E33" s="34" t="n"/>
      <c r="F33" s="18" t="n"/>
      <c r="G33" s="35">
        <f>IF($E33="","",$E33*$F33/100)</f>
        <v/>
      </c>
      <c r="H33" s="18" t="n"/>
      <c r="I33" s="35">
        <f>IF($E33="","",$E33*$H33/100)</f>
        <v/>
      </c>
      <c r="J33" s="35">
        <f>IF($E33="","",$E33+$G33-$I33)</f>
        <v/>
      </c>
      <c r="K33" s="16" t="n"/>
      <c r="L33" s="20">
        <f>IF($A33="","",ROUNDUP(MONTH($A33)/3,0))</f>
        <v/>
      </c>
    </row>
    <row r="34">
      <c r="A34" s="33" t="n"/>
      <c r="B34" s="16" t="n"/>
      <c r="C34" s="16" t="n"/>
      <c r="D34" s="16" t="n"/>
      <c r="E34" s="34" t="n"/>
      <c r="F34" s="18" t="n"/>
      <c r="G34" s="35">
        <f>IF($E34="","",$E34*$F34/100)</f>
        <v/>
      </c>
      <c r="H34" s="18" t="n"/>
      <c r="I34" s="35">
        <f>IF($E34="","",$E34*$H34/100)</f>
        <v/>
      </c>
      <c r="J34" s="35">
        <f>IF($E34="","",$E34+$G34-$I34)</f>
        <v/>
      </c>
      <c r="K34" s="16" t="n"/>
      <c r="L34" s="20">
        <f>IF($A34="","",ROUNDUP(MONTH($A34)/3,0))</f>
        <v/>
      </c>
    </row>
    <row r="35">
      <c r="A35" s="33" t="n"/>
      <c r="B35" s="16" t="n"/>
      <c r="C35" s="16" t="n"/>
      <c r="D35" s="16" t="n"/>
      <c r="E35" s="34" t="n"/>
      <c r="F35" s="18" t="n"/>
      <c r="G35" s="35">
        <f>IF($E35="","",$E35*$F35/100)</f>
        <v/>
      </c>
      <c r="H35" s="18" t="n"/>
      <c r="I35" s="35">
        <f>IF($E35="","",$E35*$H35/100)</f>
        <v/>
      </c>
      <c r="J35" s="35">
        <f>IF($E35="","",$E35+$G35-$I35)</f>
        <v/>
      </c>
      <c r="K35" s="16" t="n"/>
      <c r="L35" s="20">
        <f>IF($A35="","",ROUNDUP(MONTH($A35)/3,0))</f>
        <v/>
      </c>
    </row>
    <row r="36">
      <c r="A36" s="33" t="n"/>
      <c r="B36" s="16" t="n"/>
      <c r="C36" s="16" t="n"/>
      <c r="D36" s="16" t="n"/>
      <c r="E36" s="34" t="n"/>
      <c r="F36" s="18" t="n"/>
      <c r="G36" s="35">
        <f>IF($E36="","",$E36*$F36/100)</f>
        <v/>
      </c>
      <c r="H36" s="18" t="n"/>
      <c r="I36" s="35">
        <f>IF($E36="","",$E36*$H36/100)</f>
        <v/>
      </c>
      <c r="J36" s="35">
        <f>IF($E36="","",$E36+$G36-$I36)</f>
        <v/>
      </c>
      <c r="K36" s="16" t="n"/>
      <c r="L36" s="20">
        <f>IF($A36="","",ROUNDUP(MONTH($A36)/3,0))</f>
        <v/>
      </c>
    </row>
    <row r="37">
      <c r="A37" s="33" t="n"/>
      <c r="B37" s="16" t="n"/>
      <c r="C37" s="16" t="n"/>
      <c r="D37" s="16" t="n"/>
      <c r="E37" s="34" t="n"/>
      <c r="F37" s="18" t="n"/>
      <c r="G37" s="35">
        <f>IF($E37="","",$E37*$F37/100)</f>
        <v/>
      </c>
      <c r="H37" s="18" t="n"/>
      <c r="I37" s="35">
        <f>IF($E37="","",$E37*$H37/100)</f>
        <v/>
      </c>
      <c r="J37" s="35">
        <f>IF($E37="","",$E37+$G37-$I37)</f>
        <v/>
      </c>
      <c r="K37" s="16" t="n"/>
      <c r="L37" s="20">
        <f>IF($A37="","",ROUNDUP(MONTH($A37)/3,0))</f>
        <v/>
      </c>
    </row>
    <row r="38">
      <c r="A38" s="33" t="n"/>
      <c r="B38" s="16" t="n"/>
      <c r="C38" s="16" t="n"/>
      <c r="D38" s="16" t="n"/>
      <c r="E38" s="34" t="n"/>
      <c r="F38" s="18" t="n"/>
      <c r="G38" s="35">
        <f>IF($E38="","",$E38*$F38/100)</f>
        <v/>
      </c>
      <c r="H38" s="18" t="n"/>
      <c r="I38" s="35">
        <f>IF($E38="","",$E38*$H38/100)</f>
        <v/>
      </c>
      <c r="J38" s="35">
        <f>IF($E38="","",$E38+$G38-$I38)</f>
        <v/>
      </c>
      <c r="K38" s="16" t="n"/>
      <c r="L38" s="20">
        <f>IF($A38="","",ROUNDUP(MONTH($A38)/3,0))</f>
        <v/>
      </c>
    </row>
    <row r="39">
      <c r="A39" s="33" t="n"/>
      <c r="B39" s="16" t="n"/>
      <c r="C39" s="16" t="n"/>
      <c r="D39" s="16" t="n"/>
      <c r="E39" s="34" t="n"/>
      <c r="F39" s="18" t="n"/>
      <c r="G39" s="35">
        <f>IF($E39="","",$E39*$F39/100)</f>
        <v/>
      </c>
      <c r="H39" s="18" t="n"/>
      <c r="I39" s="35">
        <f>IF($E39="","",$E39*$H39/100)</f>
        <v/>
      </c>
      <c r="J39" s="35">
        <f>IF($E39="","",$E39+$G39-$I39)</f>
        <v/>
      </c>
      <c r="K39" s="16" t="n"/>
      <c r="L39" s="20">
        <f>IF($A39="","",ROUNDUP(MONTH($A39)/3,0))</f>
        <v/>
      </c>
    </row>
    <row r="40">
      <c r="A40" s="33" t="n"/>
      <c r="B40" s="16" t="n"/>
      <c r="C40" s="16" t="n"/>
      <c r="D40" s="16" t="n"/>
      <c r="E40" s="34" t="n"/>
      <c r="F40" s="18" t="n"/>
      <c r="G40" s="35">
        <f>IF($E40="","",$E40*$F40/100)</f>
        <v/>
      </c>
      <c r="H40" s="18" t="n"/>
      <c r="I40" s="35">
        <f>IF($E40="","",$E40*$H40/100)</f>
        <v/>
      </c>
      <c r="J40" s="35">
        <f>IF($E40="","",$E40+$G40-$I40)</f>
        <v/>
      </c>
      <c r="K40" s="16" t="n"/>
      <c r="L40" s="20">
        <f>IF($A40="","",ROUNDUP(MONTH($A40)/3,0))</f>
        <v/>
      </c>
    </row>
    <row r="41">
      <c r="A41" s="33" t="n"/>
      <c r="B41" s="16" t="n"/>
      <c r="C41" s="16" t="n"/>
      <c r="D41" s="16" t="n"/>
      <c r="E41" s="34" t="n"/>
      <c r="F41" s="18" t="n"/>
      <c r="G41" s="35">
        <f>IF($E41="","",$E41*$F41/100)</f>
        <v/>
      </c>
      <c r="H41" s="18" t="n"/>
      <c r="I41" s="35">
        <f>IF($E41="","",$E41*$H41/100)</f>
        <v/>
      </c>
      <c r="J41" s="35">
        <f>IF($E41="","",$E41+$G41-$I41)</f>
        <v/>
      </c>
      <c r="K41" s="16" t="n"/>
      <c r="L41" s="20">
        <f>IF($A41="","",ROUNDUP(MONTH($A41)/3,0))</f>
        <v/>
      </c>
    </row>
    <row r="42">
      <c r="A42" s="33" t="n"/>
      <c r="B42" s="16" t="n"/>
      <c r="C42" s="16" t="n"/>
      <c r="D42" s="16" t="n"/>
      <c r="E42" s="34" t="n"/>
      <c r="F42" s="18" t="n"/>
      <c r="G42" s="35">
        <f>IF($E42="","",$E42*$F42/100)</f>
        <v/>
      </c>
      <c r="H42" s="18" t="n"/>
      <c r="I42" s="35">
        <f>IF($E42="","",$E42*$H42/100)</f>
        <v/>
      </c>
      <c r="J42" s="35">
        <f>IF($E42="","",$E42+$G42-$I42)</f>
        <v/>
      </c>
      <c r="K42" s="16" t="n"/>
      <c r="L42" s="20">
        <f>IF($A42="","",ROUNDUP(MONTH($A42)/3,0))</f>
        <v/>
      </c>
    </row>
    <row r="43">
      <c r="A43" s="33" t="n"/>
      <c r="B43" s="16" t="n"/>
      <c r="C43" s="16" t="n"/>
      <c r="D43" s="16" t="n"/>
      <c r="E43" s="34" t="n"/>
      <c r="F43" s="18" t="n"/>
      <c r="G43" s="35">
        <f>IF($E43="","",$E43*$F43/100)</f>
        <v/>
      </c>
      <c r="H43" s="18" t="n"/>
      <c r="I43" s="35">
        <f>IF($E43="","",$E43*$H43/100)</f>
        <v/>
      </c>
      <c r="J43" s="35">
        <f>IF($E43="","",$E43+$G43-$I43)</f>
        <v/>
      </c>
      <c r="K43" s="16" t="n"/>
      <c r="L43" s="20">
        <f>IF($A43="","",ROUNDUP(MONTH($A43)/3,0))</f>
        <v/>
      </c>
    </row>
    <row r="44">
      <c r="A44" s="33" t="n"/>
      <c r="B44" s="16" t="n"/>
      <c r="C44" s="16" t="n"/>
      <c r="D44" s="16" t="n"/>
      <c r="E44" s="34" t="n"/>
      <c r="F44" s="18" t="n"/>
      <c r="G44" s="35">
        <f>IF($E44="","",$E44*$F44/100)</f>
        <v/>
      </c>
      <c r="H44" s="18" t="n"/>
      <c r="I44" s="35">
        <f>IF($E44="","",$E44*$H44/100)</f>
        <v/>
      </c>
      <c r="J44" s="35">
        <f>IF($E44="","",$E44+$G44-$I44)</f>
        <v/>
      </c>
      <c r="K44" s="16" t="n"/>
      <c r="L44" s="20">
        <f>IF($A44="","",ROUNDUP(MONTH($A44)/3,0))</f>
        <v/>
      </c>
    </row>
    <row r="45">
      <c r="A45" s="33" t="n"/>
      <c r="B45" s="16" t="n"/>
      <c r="C45" s="16" t="n"/>
      <c r="D45" s="16" t="n"/>
      <c r="E45" s="34" t="n"/>
      <c r="F45" s="18" t="n"/>
      <c r="G45" s="35">
        <f>IF($E45="","",$E45*$F45/100)</f>
        <v/>
      </c>
      <c r="H45" s="18" t="n"/>
      <c r="I45" s="35">
        <f>IF($E45="","",$E45*$H45/100)</f>
        <v/>
      </c>
      <c r="J45" s="35">
        <f>IF($E45="","",$E45+$G45-$I45)</f>
        <v/>
      </c>
      <c r="K45" s="16" t="n"/>
      <c r="L45" s="20">
        <f>IF($A45="","",ROUNDUP(MONTH($A45)/3,0))</f>
        <v/>
      </c>
    </row>
    <row r="46">
      <c r="A46" s="33" t="n"/>
      <c r="B46" s="16" t="n"/>
      <c r="C46" s="16" t="n"/>
      <c r="D46" s="16" t="n"/>
      <c r="E46" s="34" t="n"/>
      <c r="F46" s="18" t="n"/>
      <c r="G46" s="35">
        <f>IF($E46="","",$E46*$F46/100)</f>
        <v/>
      </c>
      <c r="H46" s="18" t="n"/>
      <c r="I46" s="35">
        <f>IF($E46="","",$E46*$H46/100)</f>
        <v/>
      </c>
      <c r="J46" s="35">
        <f>IF($E46="","",$E46+$G46-$I46)</f>
        <v/>
      </c>
      <c r="K46" s="16" t="n"/>
      <c r="L46" s="20">
        <f>IF($A46="","",ROUNDUP(MONTH($A46)/3,0))</f>
        <v/>
      </c>
    </row>
    <row r="47">
      <c r="A47" s="33" t="n"/>
      <c r="B47" s="16" t="n"/>
      <c r="C47" s="16" t="n"/>
      <c r="D47" s="16" t="n"/>
      <c r="E47" s="34" t="n"/>
      <c r="F47" s="18" t="n"/>
      <c r="G47" s="35">
        <f>IF($E47="","",$E47*$F47/100)</f>
        <v/>
      </c>
      <c r="H47" s="18" t="n"/>
      <c r="I47" s="35">
        <f>IF($E47="","",$E47*$H47/100)</f>
        <v/>
      </c>
      <c r="J47" s="35">
        <f>IF($E47="","",$E47+$G47-$I47)</f>
        <v/>
      </c>
      <c r="K47" s="16" t="n"/>
      <c r="L47" s="20">
        <f>IF($A47="","",ROUNDUP(MONTH($A47)/3,0))</f>
        <v/>
      </c>
    </row>
    <row r="48">
      <c r="A48" s="33" t="n"/>
      <c r="B48" s="16" t="n"/>
      <c r="C48" s="16" t="n"/>
      <c r="D48" s="16" t="n"/>
      <c r="E48" s="34" t="n"/>
      <c r="F48" s="18" t="n"/>
      <c r="G48" s="35">
        <f>IF($E48="","",$E48*$F48/100)</f>
        <v/>
      </c>
      <c r="H48" s="18" t="n"/>
      <c r="I48" s="35">
        <f>IF($E48="","",$E48*$H48/100)</f>
        <v/>
      </c>
      <c r="J48" s="35">
        <f>IF($E48="","",$E48+$G48-$I48)</f>
        <v/>
      </c>
      <c r="K48" s="16" t="n"/>
      <c r="L48" s="20">
        <f>IF($A48="","",ROUNDUP(MONTH($A48)/3,0))</f>
        <v/>
      </c>
    </row>
    <row r="49">
      <c r="A49" s="33" t="n"/>
      <c r="B49" s="16" t="n"/>
      <c r="C49" s="16" t="n"/>
      <c r="D49" s="16" t="n"/>
      <c r="E49" s="34" t="n"/>
      <c r="F49" s="18" t="n"/>
      <c r="G49" s="35">
        <f>IF($E49="","",$E49*$F49/100)</f>
        <v/>
      </c>
      <c r="H49" s="18" t="n"/>
      <c r="I49" s="35">
        <f>IF($E49="","",$E49*$H49/100)</f>
        <v/>
      </c>
      <c r="J49" s="35">
        <f>IF($E49="","",$E49+$G49-$I49)</f>
        <v/>
      </c>
      <c r="K49" s="16" t="n"/>
      <c r="L49" s="20">
        <f>IF($A49="","",ROUNDUP(MONTH($A49)/3,0))</f>
        <v/>
      </c>
    </row>
    <row r="50">
      <c r="A50" s="33" t="n"/>
      <c r="B50" s="16" t="n"/>
      <c r="C50" s="16" t="n"/>
      <c r="D50" s="16" t="n"/>
      <c r="E50" s="34" t="n"/>
      <c r="F50" s="18" t="n"/>
      <c r="G50" s="35">
        <f>IF($E50="","",$E50*$F50/100)</f>
        <v/>
      </c>
      <c r="H50" s="18" t="n"/>
      <c r="I50" s="35">
        <f>IF($E50="","",$E50*$H50/100)</f>
        <v/>
      </c>
      <c r="J50" s="35">
        <f>IF($E50="","",$E50+$G50-$I50)</f>
        <v/>
      </c>
      <c r="K50" s="16" t="n"/>
      <c r="L50" s="20">
        <f>IF($A50="","",ROUNDUP(MONTH($A50)/3,0))</f>
        <v/>
      </c>
    </row>
    <row r="51">
      <c r="A51" s="33" t="n"/>
      <c r="B51" s="16" t="n"/>
      <c r="C51" s="16" t="n"/>
      <c r="D51" s="16" t="n"/>
      <c r="E51" s="34" t="n"/>
      <c r="F51" s="18" t="n"/>
      <c r="G51" s="35">
        <f>IF($E51="","",$E51*$F51/100)</f>
        <v/>
      </c>
      <c r="H51" s="18" t="n"/>
      <c r="I51" s="35">
        <f>IF($E51="","",$E51*$H51/100)</f>
        <v/>
      </c>
      <c r="J51" s="35">
        <f>IF($E51="","",$E51+$G51-$I51)</f>
        <v/>
      </c>
      <c r="K51" s="16" t="n"/>
      <c r="L51" s="20">
        <f>IF($A51="","",ROUNDUP(MONTH($A51)/3,0))</f>
        <v/>
      </c>
    </row>
    <row r="52">
      <c r="A52" s="33" t="n"/>
      <c r="B52" s="16" t="n"/>
      <c r="C52" s="16" t="n"/>
      <c r="D52" s="16" t="n"/>
      <c r="E52" s="34" t="n"/>
      <c r="F52" s="18" t="n"/>
      <c r="G52" s="35">
        <f>IF($E52="","",$E52*$F52/100)</f>
        <v/>
      </c>
      <c r="H52" s="18" t="n"/>
      <c r="I52" s="35">
        <f>IF($E52="","",$E52*$H52/100)</f>
        <v/>
      </c>
      <c r="J52" s="35">
        <f>IF($E52="","",$E52+$G52-$I52)</f>
        <v/>
      </c>
      <c r="K52" s="16" t="n"/>
      <c r="L52" s="20">
        <f>IF($A52="","",ROUNDUP(MONTH($A52)/3,0))</f>
        <v/>
      </c>
    </row>
    <row r="53">
      <c r="A53" s="33" t="n"/>
      <c r="B53" s="16" t="n"/>
      <c r="C53" s="16" t="n"/>
      <c r="D53" s="16" t="n"/>
      <c r="E53" s="34" t="n"/>
      <c r="F53" s="18" t="n"/>
      <c r="G53" s="35">
        <f>IF($E53="","",$E53*$F53/100)</f>
        <v/>
      </c>
      <c r="H53" s="18" t="n"/>
      <c r="I53" s="35">
        <f>IF($E53="","",$E53*$H53/100)</f>
        <v/>
      </c>
      <c r="J53" s="35">
        <f>IF($E53="","",$E53+$G53-$I53)</f>
        <v/>
      </c>
      <c r="K53" s="16" t="n"/>
      <c r="L53" s="20">
        <f>IF($A53="","",ROUNDUP(MONTH($A53)/3,0))</f>
        <v/>
      </c>
    </row>
    <row r="54">
      <c r="A54" s="33" t="n"/>
      <c r="B54" s="16" t="n"/>
      <c r="C54" s="16" t="n"/>
      <c r="D54" s="16" t="n"/>
      <c r="E54" s="34" t="n"/>
      <c r="F54" s="18" t="n"/>
      <c r="G54" s="35">
        <f>IF($E54="","",$E54*$F54/100)</f>
        <v/>
      </c>
      <c r="H54" s="18" t="n"/>
      <c r="I54" s="35">
        <f>IF($E54="","",$E54*$H54/100)</f>
        <v/>
      </c>
      <c r="J54" s="35">
        <f>IF($E54="","",$E54+$G54-$I54)</f>
        <v/>
      </c>
      <c r="K54" s="16" t="n"/>
      <c r="L54" s="20">
        <f>IF($A54="","",ROUNDUP(MONTH($A54)/3,0))</f>
        <v/>
      </c>
    </row>
    <row r="55">
      <c r="A55" s="33" t="n"/>
      <c r="B55" s="16" t="n"/>
      <c r="C55" s="16" t="n"/>
      <c r="D55" s="16" t="n"/>
      <c r="E55" s="34" t="n"/>
      <c r="F55" s="18" t="n"/>
      <c r="G55" s="35">
        <f>IF($E55="","",$E55*$F55/100)</f>
        <v/>
      </c>
      <c r="H55" s="18" t="n"/>
      <c r="I55" s="35">
        <f>IF($E55="","",$E55*$H55/100)</f>
        <v/>
      </c>
      <c r="J55" s="35">
        <f>IF($E55="","",$E55+$G55-$I55)</f>
        <v/>
      </c>
      <c r="K55" s="16" t="n"/>
      <c r="L55" s="20">
        <f>IF($A55="","",ROUNDUP(MONTH($A55)/3,0))</f>
        <v/>
      </c>
    </row>
    <row r="56">
      <c r="A56" s="33" t="n"/>
      <c r="B56" s="16" t="n"/>
      <c r="C56" s="16" t="n"/>
      <c r="D56" s="16" t="n"/>
      <c r="E56" s="34" t="n"/>
      <c r="F56" s="18" t="n"/>
      <c r="G56" s="35">
        <f>IF($E56="","",$E56*$F56/100)</f>
        <v/>
      </c>
      <c r="H56" s="18" t="n"/>
      <c r="I56" s="35">
        <f>IF($E56="","",$E56*$H56/100)</f>
        <v/>
      </c>
      <c r="J56" s="35">
        <f>IF($E56="","",$E56+$G56-$I56)</f>
        <v/>
      </c>
      <c r="K56" s="16" t="n"/>
      <c r="L56" s="20">
        <f>IF($A56="","",ROUNDUP(MONTH($A56)/3,0))</f>
        <v/>
      </c>
    </row>
    <row r="57">
      <c r="A57" s="33" t="n"/>
      <c r="B57" s="16" t="n"/>
      <c r="C57" s="16" t="n"/>
      <c r="D57" s="16" t="n"/>
      <c r="E57" s="34" t="n"/>
      <c r="F57" s="18" t="n"/>
      <c r="G57" s="35">
        <f>IF($E57="","",$E57*$F57/100)</f>
        <v/>
      </c>
      <c r="H57" s="18" t="n"/>
      <c r="I57" s="35">
        <f>IF($E57="","",$E57*$H57/100)</f>
        <v/>
      </c>
      <c r="J57" s="35">
        <f>IF($E57="","",$E57+$G57-$I57)</f>
        <v/>
      </c>
      <c r="K57" s="16" t="n"/>
      <c r="L57" s="20">
        <f>IF($A57="","",ROUNDUP(MONTH($A57)/3,0))</f>
        <v/>
      </c>
    </row>
    <row r="58">
      <c r="A58" s="33" t="n"/>
      <c r="B58" s="16" t="n"/>
      <c r="C58" s="16" t="n"/>
      <c r="D58" s="16" t="n"/>
      <c r="E58" s="34" t="n"/>
      <c r="F58" s="18" t="n"/>
      <c r="G58" s="35">
        <f>IF($E58="","",$E58*$F58/100)</f>
        <v/>
      </c>
      <c r="H58" s="18" t="n"/>
      <c r="I58" s="35">
        <f>IF($E58="","",$E58*$H58/100)</f>
        <v/>
      </c>
      <c r="J58" s="35">
        <f>IF($E58="","",$E58+$G58-$I58)</f>
        <v/>
      </c>
      <c r="K58" s="16" t="n"/>
      <c r="L58" s="20">
        <f>IF($A58="","",ROUNDUP(MONTH($A58)/3,0))</f>
        <v/>
      </c>
    </row>
    <row r="59">
      <c r="A59" s="33" t="n"/>
      <c r="B59" s="16" t="n"/>
      <c r="C59" s="16" t="n"/>
      <c r="D59" s="16" t="n"/>
      <c r="E59" s="34" t="n"/>
      <c r="F59" s="18" t="n"/>
      <c r="G59" s="35">
        <f>IF($E59="","",$E59*$F59/100)</f>
        <v/>
      </c>
      <c r="H59" s="18" t="n"/>
      <c r="I59" s="35">
        <f>IF($E59="","",$E59*$H59/100)</f>
        <v/>
      </c>
      <c r="J59" s="35">
        <f>IF($E59="","",$E59+$G59-$I59)</f>
        <v/>
      </c>
      <c r="K59" s="16" t="n"/>
      <c r="L59" s="20">
        <f>IF($A59="","",ROUNDUP(MONTH($A59)/3,0))</f>
        <v/>
      </c>
    </row>
    <row r="60">
      <c r="A60" s="33" t="n"/>
      <c r="B60" s="16" t="n"/>
      <c r="C60" s="16" t="n"/>
      <c r="D60" s="16" t="n"/>
      <c r="E60" s="34" t="n"/>
      <c r="F60" s="18" t="n"/>
      <c r="G60" s="35">
        <f>IF($E60="","",$E60*$F60/100)</f>
        <v/>
      </c>
      <c r="H60" s="18" t="n"/>
      <c r="I60" s="35">
        <f>IF($E60="","",$E60*$H60/100)</f>
        <v/>
      </c>
      <c r="J60" s="35">
        <f>IF($E60="","",$E60+$G60-$I60)</f>
        <v/>
      </c>
      <c r="K60" s="16" t="n"/>
      <c r="L60" s="20">
        <f>IF($A60="","",ROUNDUP(MONTH($A60)/3,0))</f>
        <v/>
      </c>
    </row>
    <row r="61">
      <c r="A61" s="33" t="n"/>
      <c r="B61" s="16" t="n"/>
      <c r="C61" s="16" t="n"/>
      <c r="D61" s="16" t="n"/>
      <c r="E61" s="34" t="n"/>
      <c r="F61" s="18" t="n"/>
      <c r="G61" s="35">
        <f>IF($E61="","",$E61*$F61/100)</f>
        <v/>
      </c>
      <c r="H61" s="18" t="n"/>
      <c r="I61" s="35">
        <f>IF($E61="","",$E61*$H61/100)</f>
        <v/>
      </c>
      <c r="J61" s="35">
        <f>IF($E61="","",$E61+$G61-$I61)</f>
        <v/>
      </c>
      <c r="K61" s="16" t="n"/>
      <c r="L61" s="20">
        <f>IF($A61="","",ROUNDUP(MONTH($A61)/3,0))</f>
        <v/>
      </c>
    </row>
    <row r="62">
      <c r="A62" s="33" t="n"/>
      <c r="B62" s="16" t="n"/>
      <c r="C62" s="16" t="n"/>
      <c r="D62" s="16" t="n"/>
      <c r="E62" s="34" t="n"/>
      <c r="F62" s="18" t="n"/>
      <c r="G62" s="35">
        <f>IF($E62="","",$E62*$F62/100)</f>
        <v/>
      </c>
      <c r="H62" s="18" t="n"/>
      <c r="I62" s="35">
        <f>IF($E62="","",$E62*$H62/100)</f>
        <v/>
      </c>
      <c r="J62" s="35">
        <f>IF($E62="","",$E62+$G62-$I62)</f>
        <v/>
      </c>
      <c r="K62" s="16" t="n"/>
      <c r="L62" s="20">
        <f>IF($A62="","",ROUNDUP(MONTH($A62)/3,0))</f>
        <v/>
      </c>
    </row>
    <row r="63">
      <c r="A63" s="33" t="n"/>
      <c r="B63" s="16" t="n"/>
      <c r="C63" s="16" t="n"/>
      <c r="D63" s="16" t="n"/>
      <c r="E63" s="34" t="n"/>
      <c r="F63" s="18" t="n"/>
      <c r="G63" s="35">
        <f>IF($E63="","",$E63*$F63/100)</f>
        <v/>
      </c>
      <c r="H63" s="18" t="n"/>
      <c r="I63" s="35">
        <f>IF($E63="","",$E63*$H63/100)</f>
        <v/>
      </c>
      <c r="J63" s="35">
        <f>IF($E63="","",$E63+$G63-$I63)</f>
        <v/>
      </c>
      <c r="K63" s="16" t="n"/>
      <c r="L63" s="20">
        <f>IF($A63="","",ROUNDUP(MONTH($A63)/3,0))</f>
        <v/>
      </c>
    </row>
    <row r="64">
      <c r="A64" s="33" t="n"/>
      <c r="B64" s="16" t="n"/>
      <c r="C64" s="16" t="n"/>
      <c r="D64" s="16" t="n"/>
      <c r="E64" s="34" t="n"/>
      <c r="F64" s="18" t="n"/>
      <c r="G64" s="35">
        <f>IF($E64="","",$E64*$F64/100)</f>
        <v/>
      </c>
      <c r="H64" s="18" t="n"/>
      <c r="I64" s="35">
        <f>IF($E64="","",$E64*$H64/100)</f>
        <v/>
      </c>
      <c r="J64" s="35">
        <f>IF($E64="","",$E64+$G64-$I64)</f>
        <v/>
      </c>
      <c r="K64" s="16" t="n"/>
      <c r="L64" s="20">
        <f>IF($A64="","",ROUNDUP(MONTH($A64)/3,0))</f>
        <v/>
      </c>
    </row>
    <row r="65">
      <c r="A65" s="33" t="n"/>
      <c r="B65" s="16" t="n"/>
      <c r="C65" s="16" t="n"/>
      <c r="D65" s="16" t="n"/>
      <c r="E65" s="34" t="n"/>
      <c r="F65" s="18" t="n"/>
      <c r="G65" s="35">
        <f>IF($E65="","",$E65*$F65/100)</f>
        <v/>
      </c>
      <c r="H65" s="18" t="n"/>
      <c r="I65" s="35">
        <f>IF($E65="","",$E65*$H65/100)</f>
        <v/>
      </c>
      <c r="J65" s="35">
        <f>IF($E65="","",$E65+$G65-$I65)</f>
        <v/>
      </c>
      <c r="K65" s="16" t="n"/>
      <c r="L65" s="20">
        <f>IF($A65="","",ROUNDUP(MONTH($A65)/3,0))</f>
        <v/>
      </c>
    </row>
    <row r="66">
      <c r="A66" s="33" t="n"/>
      <c r="B66" s="16" t="n"/>
      <c r="C66" s="16" t="n"/>
      <c r="D66" s="16" t="n"/>
      <c r="E66" s="34" t="n"/>
      <c r="F66" s="18" t="n"/>
      <c r="G66" s="35">
        <f>IF($E66="","",$E66*$F66/100)</f>
        <v/>
      </c>
      <c r="H66" s="18" t="n"/>
      <c r="I66" s="35">
        <f>IF($E66="","",$E66*$H66/100)</f>
        <v/>
      </c>
      <c r="J66" s="35">
        <f>IF($E66="","",$E66+$G66-$I66)</f>
        <v/>
      </c>
      <c r="K66" s="16" t="n"/>
      <c r="L66" s="20">
        <f>IF($A66="","",ROUNDUP(MONTH($A66)/3,0))</f>
        <v/>
      </c>
    </row>
    <row r="67">
      <c r="A67" s="33" t="n"/>
      <c r="B67" s="16" t="n"/>
      <c r="C67" s="16" t="n"/>
      <c r="D67" s="16" t="n"/>
      <c r="E67" s="34" t="n"/>
      <c r="F67" s="18" t="n"/>
      <c r="G67" s="35">
        <f>IF($E67="","",$E67*$F67/100)</f>
        <v/>
      </c>
      <c r="H67" s="18" t="n"/>
      <c r="I67" s="35">
        <f>IF($E67="","",$E67*$H67/100)</f>
        <v/>
      </c>
      <c r="J67" s="35">
        <f>IF($E67="","",$E67+$G67-$I67)</f>
        <v/>
      </c>
      <c r="K67" s="16" t="n"/>
      <c r="L67" s="20">
        <f>IF($A67="","",ROUNDUP(MONTH($A67)/3,0))</f>
        <v/>
      </c>
    </row>
    <row r="68">
      <c r="A68" s="33" t="n"/>
      <c r="B68" s="16" t="n"/>
      <c r="C68" s="16" t="n"/>
      <c r="D68" s="16" t="n"/>
      <c r="E68" s="34" t="n"/>
      <c r="F68" s="18" t="n"/>
      <c r="G68" s="35">
        <f>IF($E68="","",$E68*$F68/100)</f>
        <v/>
      </c>
      <c r="H68" s="18" t="n"/>
      <c r="I68" s="35">
        <f>IF($E68="","",$E68*$H68/100)</f>
        <v/>
      </c>
      <c r="J68" s="35">
        <f>IF($E68="","",$E68+$G68-$I68)</f>
        <v/>
      </c>
      <c r="K68" s="16" t="n"/>
      <c r="L68" s="20">
        <f>IF($A68="","",ROUNDUP(MONTH($A68)/3,0))</f>
        <v/>
      </c>
    </row>
    <row r="69">
      <c r="A69" s="33" t="n"/>
      <c r="B69" s="16" t="n"/>
      <c r="C69" s="16" t="n"/>
      <c r="D69" s="16" t="n"/>
      <c r="E69" s="34" t="n"/>
      <c r="F69" s="18" t="n"/>
      <c r="G69" s="35">
        <f>IF($E69="","",$E69*$F69/100)</f>
        <v/>
      </c>
      <c r="H69" s="18" t="n"/>
      <c r="I69" s="35">
        <f>IF($E69="","",$E69*$H69/100)</f>
        <v/>
      </c>
      <c r="J69" s="35">
        <f>IF($E69="","",$E69+$G69-$I69)</f>
        <v/>
      </c>
      <c r="K69" s="16" t="n"/>
      <c r="L69" s="20">
        <f>IF($A69="","",ROUNDUP(MONTH($A69)/3,0))</f>
        <v/>
      </c>
    </row>
    <row r="70">
      <c r="A70" s="33" t="n"/>
      <c r="B70" s="16" t="n"/>
      <c r="C70" s="16" t="n"/>
      <c r="D70" s="16" t="n"/>
      <c r="E70" s="34" t="n"/>
      <c r="F70" s="18" t="n"/>
      <c r="G70" s="35">
        <f>IF($E70="","",$E70*$F70/100)</f>
        <v/>
      </c>
      <c r="H70" s="18" t="n"/>
      <c r="I70" s="35">
        <f>IF($E70="","",$E70*$H70/100)</f>
        <v/>
      </c>
      <c r="J70" s="35">
        <f>IF($E70="","",$E70+$G70-$I70)</f>
        <v/>
      </c>
      <c r="K70" s="16" t="n"/>
      <c r="L70" s="20">
        <f>IF($A70="","",ROUNDUP(MONTH($A70)/3,0))</f>
        <v/>
      </c>
    </row>
    <row r="71">
      <c r="A71" s="33" t="n"/>
      <c r="B71" s="16" t="n"/>
      <c r="C71" s="16" t="n"/>
      <c r="D71" s="16" t="n"/>
      <c r="E71" s="34" t="n"/>
      <c r="F71" s="18" t="n"/>
      <c r="G71" s="35">
        <f>IF($E71="","",$E71*$F71/100)</f>
        <v/>
      </c>
      <c r="H71" s="18" t="n"/>
      <c r="I71" s="35">
        <f>IF($E71="","",$E71*$H71/100)</f>
        <v/>
      </c>
      <c r="J71" s="35">
        <f>IF($E71="","",$E71+$G71-$I71)</f>
        <v/>
      </c>
      <c r="K71" s="16" t="n"/>
      <c r="L71" s="20">
        <f>IF($A71="","",ROUNDUP(MONTH($A71)/3,0))</f>
        <v/>
      </c>
    </row>
    <row r="72">
      <c r="A72" s="33" t="n"/>
      <c r="B72" s="16" t="n"/>
      <c r="C72" s="16" t="n"/>
      <c r="D72" s="16" t="n"/>
      <c r="E72" s="34" t="n"/>
      <c r="F72" s="18" t="n"/>
      <c r="G72" s="35">
        <f>IF($E72="","",$E72*$F72/100)</f>
        <v/>
      </c>
      <c r="H72" s="18" t="n"/>
      <c r="I72" s="35">
        <f>IF($E72="","",$E72*$H72/100)</f>
        <v/>
      </c>
      <c r="J72" s="35">
        <f>IF($E72="","",$E72+$G72-$I72)</f>
        <v/>
      </c>
      <c r="K72" s="16" t="n"/>
      <c r="L72" s="20">
        <f>IF($A72="","",ROUNDUP(MONTH($A72)/3,0))</f>
        <v/>
      </c>
    </row>
    <row r="73">
      <c r="A73" s="33" t="n"/>
      <c r="B73" s="16" t="n"/>
      <c r="C73" s="16" t="n"/>
      <c r="D73" s="16" t="n"/>
      <c r="E73" s="34" t="n"/>
      <c r="F73" s="18" t="n"/>
      <c r="G73" s="35">
        <f>IF($E73="","",$E73*$F73/100)</f>
        <v/>
      </c>
      <c r="H73" s="18" t="n"/>
      <c r="I73" s="35">
        <f>IF($E73="","",$E73*$H73/100)</f>
        <v/>
      </c>
      <c r="J73" s="35">
        <f>IF($E73="","",$E73+$G73-$I73)</f>
        <v/>
      </c>
      <c r="K73" s="16" t="n"/>
      <c r="L73" s="20">
        <f>IF($A73="","",ROUNDUP(MONTH($A73)/3,0))</f>
        <v/>
      </c>
    </row>
    <row r="74">
      <c r="A74" s="33" t="n"/>
      <c r="B74" s="16" t="n"/>
      <c r="C74" s="16" t="n"/>
      <c r="D74" s="16" t="n"/>
      <c r="E74" s="34" t="n"/>
      <c r="F74" s="18" t="n"/>
      <c r="G74" s="35">
        <f>IF($E74="","",$E74*$F74/100)</f>
        <v/>
      </c>
      <c r="H74" s="18" t="n"/>
      <c r="I74" s="35">
        <f>IF($E74="","",$E74*$H74/100)</f>
        <v/>
      </c>
      <c r="J74" s="35">
        <f>IF($E74="","",$E74+$G74-$I74)</f>
        <v/>
      </c>
      <c r="K74" s="16" t="n"/>
      <c r="L74" s="20">
        <f>IF($A74="","",ROUNDUP(MONTH($A74)/3,0))</f>
        <v/>
      </c>
    </row>
    <row r="75">
      <c r="A75" s="33" t="n"/>
      <c r="B75" s="16" t="n"/>
      <c r="C75" s="16" t="n"/>
      <c r="D75" s="16" t="n"/>
      <c r="E75" s="34" t="n"/>
      <c r="F75" s="18" t="n"/>
      <c r="G75" s="35">
        <f>IF($E75="","",$E75*$F75/100)</f>
        <v/>
      </c>
      <c r="H75" s="18" t="n"/>
      <c r="I75" s="35">
        <f>IF($E75="","",$E75*$H75/100)</f>
        <v/>
      </c>
      <c r="J75" s="35">
        <f>IF($E75="","",$E75+$G75-$I75)</f>
        <v/>
      </c>
      <c r="K75" s="16" t="n"/>
      <c r="L75" s="20">
        <f>IF($A75="","",ROUNDUP(MONTH($A75)/3,0))</f>
        <v/>
      </c>
    </row>
    <row r="76">
      <c r="A76" s="33" t="n"/>
      <c r="B76" s="16" t="n"/>
      <c r="C76" s="16" t="n"/>
      <c r="D76" s="16" t="n"/>
      <c r="E76" s="34" t="n"/>
      <c r="F76" s="18" t="n"/>
      <c r="G76" s="35">
        <f>IF($E76="","",$E76*$F76/100)</f>
        <v/>
      </c>
      <c r="H76" s="18" t="n"/>
      <c r="I76" s="35">
        <f>IF($E76="","",$E76*$H76/100)</f>
        <v/>
      </c>
      <c r="J76" s="35">
        <f>IF($E76="","",$E76+$G76-$I76)</f>
        <v/>
      </c>
      <c r="K76" s="16" t="n"/>
      <c r="L76" s="20">
        <f>IF($A76="","",ROUNDUP(MONTH($A76)/3,0))</f>
        <v/>
      </c>
    </row>
    <row r="77">
      <c r="A77" s="33" t="n"/>
      <c r="B77" s="16" t="n"/>
      <c r="C77" s="16" t="n"/>
      <c r="D77" s="16" t="n"/>
      <c r="E77" s="34" t="n"/>
      <c r="F77" s="18" t="n"/>
      <c r="G77" s="35">
        <f>IF($E77="","",$E77*$F77/100)</f>
        <v/>
      </c>
      <c r="H77" s="18" t="n"/>
      <c r="I77" s="35">
        <f>IF($E77="","",$E77*$H77/100)</f>
        <v/>
      </c>
      <c r="J77" s="35">
        <f>IF($E77="","",$E77+$G77-$I77)</f>
        <v/>
      </c>
      <c r="K77" s="16" t="n"/>
      <c r="L77" s="20">
        <f>IF($A77="","",ROUNDUP(MONTH($A77)/3,0))</f>
        <v/>
      </c>
    </row>
    <row r="78">
      <c r="A78" s="33" t="n"/>
      <c r="B78" s="16" t="n"/>
      <c r="C78" s="16" t="n"/>
      <c r="D78" s="16" t="n"/>
      <c r="E78" s="34" t="n"/>
      <c r="F78" s="18" t="n"/>
      <c r="G78" s="35">
        <f>IF($E78="","",$E78*$F78/100)</f>
        <v/>
      </c>
      <c r="H78" s="18" t="n"/>
      <c r="I78" s="35">
        <f>IF($E78="","",$E78*$H78/100)</f>
        <v/>
      </c>
      <c r="J78" s="35">
        <f>IF($E78="","",$E78+$G78-$I78)</f>
        <v/>
      </c>
      <c r="K78" s="16" t="n"/>
      <c r="L78" s="20">
        <f>IF($A78="","",ROUNDUP(MONTH($A78)/3,0))</f>
        <v/>
      </c>
    </row>
    <row r="79">
      <c r="A79" s="33" t="n"/>
      <c r="B79" s="16" t="n"/>
      <c r="C79" s="16" t="n"/>
      <c r="D79" s="16" t="n"/>
      <c r="E79" s="34" t="n"/>
      <c r="F79" s="18" t="n"/>
      <c r="G79" s="35">
        <f>IF($E79="","",$E79*$F79/100)</f>
        <v/>
      </c>
      <c r="H79" s="18" t="n"/>
      <c r="I79" s="35">
        <f>IF($E79="","",$E79*$H79/100)</f>
        <v/>
      </c>
      <c r="J79" s="35">
        <f>IF($E79="","",$E79+$G79-$I79)</f>
        <v/>
      </c>
      <c r="K79" s="16" t="n"/>
      <c r="L79" s="20">
        <f>IF($A79="","",ROUNDUP(MONTH($A79)/3,0))</f>
        <v/>
      </c>
    </row>
    <row r="80">
      <c r="A80" s="33" t="n"/>
      <c r="B80" s="16" t="n"/>
      <c r="C80" s="16" t="n"/>
      <c r="D80" s="16" t="n"/>
      <c r="E80" s="34" t="n"/>
      <c r="F80" s="18" t="n"/>
      <c r="G80" s="35">
        <f>IF($E80="","",$E80*$F80/100)</f>
        <v/>
      </c>
      <c r="H80" s="18" t="n"/>
      <c r="I80" s="35">
        <f>IF($E80="","",$E80*$H80/100)</f>
        <v/>
      </c>
      <c r="J80" s="35">
        <f>IF($E80="","",$E80+$G80-$I80)</f>
        <v/>
      </c>
      <c r="K80" s="16" t="n"/>
      <c r="L80" s="20">
        <f>IF($A80="","",ROUNDUP(MONTH($A80)/3,0))</f>
        <v/>
      </c>
    </row>
    <row r="81">
      <c r="A81" s="33" t="n"/>
      <c r="B81" s="16" t="n"/>
      <c r="C81" s="16" t="n"/>
      <c r="D81" s="16" t="n"/>
      <c r="E81" s="34" t="n"/>
      <c r="F81" s="18" t="n"/>
      <c r="G81" s="35">
        <f>IF($E81="","",$E81*$F81/100)</f>
        <v/>
      </c>
      <c r="H81" s="18" t="n"/>
      <c r="I81" s="35">
        <f>IF($E81="","",$E81*$H81/100)</f>
        <v/>
      </c>
      <c r="J81" s="35">
        <f>IF($E81="","",$E81+$G81-$I81)</f>
        <v/>
      </c>
      <c r="K81" s="16" t="n"/>
      <c r="L81" s="20">
        <f>IF($A81="","",ROUNDUP(MONTH($A81)/3,0))</f>
        <v/>
      </c>
    </row>
    <row r="82">
      <c r="A82" s="33" t="n"/>
      <c r="B82" s="16" t="n"/>
      <c r="C82" s="16" t="n"/>
      <c r="D82" s="16" t="n"/>
      <c r="E82" s="34" t="n"/>
      <c r="F82" s="18" t="n"/>
      <c r="G82" s="35">
        <f>IF($E82="","",$E82*$F82/100)</f>
        <v/>
      </c>
      <c r="H82" s="18" t="n"/>
      <c r="I82" s="35">
        <f>IF($E82="","",$E82*$H82/100)</f>
        <v/>
      </c>
      <c r="J82" s="35">
        <f>IF($E82="","",$E82+$G82-$I82)</f>
        <v/>
      </c>
      <c r="K82" s="16" t="n"/>
      <c r="L82" s="20">
        <f>IF($A82="","",ROUNDUP(MONTH($A82)/3,0))</f>
        <v/>
      </c>
    </row>
    <row r="83">
      <c r="A83" s="33" t="n"/>
      <c r="B83" s="16" t="n"/>
      <c r="C83" s="16" t="n"/>
      <c r="D83" s="16" t="n"/>
      <c r="E83" s="34" t="n"/>
      <c r="F83" s="18" t="n"/>
      <c r="G83" s="35">
        <f>IF($E83="","",$E83*$F83/100)</f>
        <v/>
      </c>
      <c r="H83" s="18" t="n"/>
      <c r="I83" s="35">
        <f>IF($E83="","",$E83*$H83/100)</f>
        <v/>
      </c>
      <c r="J83" s="35">
        <f>IF($E83="","",$E83+$G83-$I83)</f>
        <v/>
      </c>
      <c r="K83" s="16" t="n"/>
      <c r="L83" s="20">
        <f>IF($A83="","",ROUNDUP(MONTH($A83)/3,0))</f>
        <v/>
      </c>
    </row>
    <row r="84">
      <c r="A84" s="33" t="n"/>
      <c r="B84" s="16" t="n"/>
      <c r="C84" s="16" t="n"/>
      <c r="D84" s="16" t="n"/>
      <c r="E84" s="34" t="n"/>
      <c r="F84" s="18" t="n"/>
      <c r="G84" s="35">
        <f>IF($E84="","",$E84*$F84/100)</f>
        <v/>
      </c>
      <c r="H84" s="18" t="n"/>
      <c r="I84" s="35">
        <f>IF($E84="","",$E84*$H84/100)</f>
        <v/>
      </c>
      <c r="J84" s="35">
        <f>IF($E84="","",$E84+$G84-$I84)</f>
        <v/>
      </c>
      <c r="K84" s="16" t="n"/>
      <c r="L84" s="20">
        <f>IF($A84="","",ROUNDUP(MONTH($A84)/3,0))</f>
        <v/>
      </c>
    </row>
    <row r="85">
      <c r="A85" s="33" t="n"/>
      <c r="B85" s="16" t="n"/>
      <c r="C85" s="16" t="n"/>
      <c r="D85" s="16" t="n"/>
      <c r="E85" s="34" t="n"/>
      <c r="F85" s="18" t="n"/>
      <c r="G85" s="35">
        <f>IF($E85="","",$E85*$F85/100)</f>
        <v/>
      </c>
      <c r="H85" s="18" t="n"/>
      <c r="I85" s="35">
        <f>IF($E85="","",$E85*$H85/100)</f>
        <v/>
      </c>
      <c r="J85" s="35">
        <f>IF($E85="","",$E85+$G85-$I85)</f>
        <v/>
      </c>
      <c r="K85" s="16" t="n"/>
      <c r="L85" s="20">
        <f>IF($A85="","",ROUNDUP(MONTH($A85)/3,0))</f>
        <v/>
      </c>
    </row>
    <row r="86">
      <c r="A86" s="33" t="n"/>
      <c r="B86" s="16" t="n"/>
      <c r="C86" s="16" t="n"/>
      <c r="D86" s="16" t="n"/>
      <c r="E86" s="34" t="n"/>
      <c r="F86" s="18" t="n"/>
      <c r="G86" s="35">
        <f>IF($E86="","",$E86*$F86/100)</f>
        <v/>
      </c>
      <c r="H86" s="18" t="n"/>
      <c r="I86" s="35">
        <f>IF($E86="","",$E86*$H86/100)</f>
        <v/>
      </c>
      <c r="J86" s="35">
        <f>IF($E86="","",$E86+$G86-$I86)</f>
        <v/>
      </c>
      <c r="K86" s="16" t="n"/>
      <c r="L86" s="20">
        <f>IF($A86="","",ROUNDUP(MONTH($A86)/3,0))</f>
        <v/>
      </c>
    </row>
    <row r="87">
      <c r="A87" s="33" t="n"/>
      <c r="B87" s="16" t="n"/>
      <c r="C87" s="16" t="n"/>
      <c r="D87" s="16" t="n"/>
      <c r="E87" s="34" t="n"/>
      <c r="F87" s="18" t="n"/>
      <c r="G87" s="35">
        <f>IF($E87="","",$E87*$F87/100)</f>
        <v/>
      </c>
      <c r="H87" s="18" t="n"/>
      <c r="I87" s="35">
        <f>IF($E87="","",$E87*$H87/100)</f>
        <v/>
      </c>
      <c r="J87" s="35">
        <f>IF($E87="","",$E87+$G87-$I87)</f>
        <v/>
      </c>
      <c r="K87" s="16" t="n"/>
      <c r="L87" s="20">
        <f>IF($A87="","",ROUNDUP(MONTH($A87)/3,0))</f>
        <v/>
      </c>
    </row>
    <row r="88">
      <c r="A88" s="33" t="n"/>
      <c r="B88" s="16" t="n"/>
      <c r="C88" s="16" t="n"/>
      <c r="D88" s="16" t="n"/>
      <c r="E88" s="34" t="n"/>
      <c r="F88" s="18" t="n"/>
      <c r="G88" s="35">
        <f>IF($E88="","",$E88*$F88/100)</f>
        <v/>
      </c>
      <c r="H88" s="18" t="n"/>
      <c r="I88" s="35">
        <f>IF($E88="","",$E88*$H88/100)</f>
        <v/>
      </c>
      <c r="J88" s="35">
        <f>IF($E88="","",$E88+$G88-$I88)</f>
        <v/>
      </c>
      <c r="K88" s="16" t="n"/>
      <c r="L88" s="20">
        <f>IF($A88="","",ROUNDUP(MONTH($A88)/3,0))</f>
        <v/>
      </c>
    </row>
    <row r="89">
      <c r="A89" s="33" t="n"/>
      <c r="B89" s="16" t="n"/>
      <c r="C89" s="16" t="n"/>
      <c r="D89" s="16" t="n"/>
      <c r="E89" s="34" t="n"/>
      <c r="F89" s="18" t="n"/>
      <c r="G89" s="35">
        <f>IF($E89="","",$E89*$F89/100)</f>
        <v/>
      </c>
      <c r="H89" s="18" t="n"/>
      <c r="I89" s="35">
        <f>IF($E89="","",$E89*$H89/100)</f>
        <v/>
      </c>
      <c r="J89" s="35">
        <f>IF($E89="","",$E89+$G89-$I89)</f>
        <v/>
      </c>
      <c r="K89" s="16" t="n"/>
      <c r="L89" s="20">
        <f>IF($A89="","",ROUNDUP(MONTH($A89)/3,0))</f>
        <v/>
      </c>
    </row>
    <row r="90">
      <c r="A90" s="33" t="n"/>
      <c r="B90" s="16" t="n"/>
      <c r="C90" s="16" t="n"/>
      <c r="D90" s="16" t="n"/>
      <c r="E90" s="34" t="n"/>
      <c r="F90" s="18" t="n"/>
      <c r="G90" s="35">
        <f>IF($E90="","",$E90*$F90/100)</f>
        <v/>
      </c>
      <c r="H90" s="18" t="n"/>
      <c r="I90" s="35">
        <f>IF($E90="","",$E90*$H90/100)</f>
        <v/>
      </c>
      <c r="J90" s="35">
        <f>IF($E90="","",$E90+$G90-$I90)</f>
        <v/>
      </c>
      <c r="K90" s="16" t="n"/>
      <c r="L90" s="20">
        <f>IF($A90="","",ROUNDUP(MONTH($A90)/3,0))</f>
        <v/>
      </c>
    </row>
    <row r="91">
      <c r="A91" s="33" t="n"/>
      <c r="B91" s="16" t="n"/>
      <c r="C91" s="16" t="n"/>
      <c r="D91" s="16" t="n"/>
      <c r="E91" s="34" t="n"/>
      <c r="F91" s="18" t="n"/>
      <c r="G91" s="35">
        <f>IF($E91="","",$E91*$F91/100)</f>
        <v/>
      </c>
      <c r="H91" s="18" t="n"/>
      <c r="I91" s="35">
        <f>IF($E91="","",$E91*$H91/100)</f>
        <v/>
      </c>
      <c r="J91" s="35">
        <f>IF($E91="","",$E91+$G91-$I91)</f>
        <v/>
      </c>
      <c r="K91" s="16" t="n"/>
      <c r="L91" s="20">
        <f>IF($A91="","",ROUNDUP(MONTH($A91)/3,0))</f>
        <v/>
      </c>
    </row>
    <row r="92">
      <c r="A92" s="33" t="n"/>
      <c r="B92" s="16" t="n"/>
      <c r="C92" s="16" t="n"/>
      <c r="D92" s="16" t="n"/>
      <c r="E92" s="34" t="n"/>
      <c r="F92" s="18" t="n"/>
      <c r="G92" s="35">
        <f>IF($E92="","",$E92*$F92/100)</f>
        <v/>
      </c>
      <c r="H92" s="18" t="n"/>
      <c r="I92" s="35">
        <f>IF($E92="","",$E92*$H92/100)</f>
        <v/>
      </c>
      <c r="J92" s="35">
        <f>IF($E92="","",$E92+$G92-$I92)</f>
        <v/>
      </c>
      <c r="K92" s="16" t="n"/>
      <c r="L92" s="20">
        <f>IF($A92="","",ROUNDUP(MONTH($A92)/3,0))</f>
        <v/>
      </c>
    </row>
    <row r="93">
      <c r="A93" s="33" t="n"/>
      <c r="B93" s="16" t="n"/>
      <c r="C93" s="16" t="n"/>
      <c r="D93" s="16" t="n"/>
      <c r="E93" s="34" t="n"/>
      <c r="F93" s="18" t="n"/>
      <c r="G93" s="35">
        <f>IF($E93="","",$E93*$F93/100)</f>
        <v/>
      </c>
      <c r="H93" s="18" t="n"/>
      <c r="I93" s="35">
        <f>IF($E93="","",$E93*$H93/100)</f>
        <v/>
      </c>
      <c r="J93" s="35">
        <f>IF($E93="","",$E93+$G93-$I93)</f>
        <v/>
      </c>
      <c r="K93" s="16" t="n"/>
      <c r="L93" s="20">
        <f>IF($A93="","",ROUNDUP(MONTH($A93)/3,0))</f>
        <v/>
      </c>
    </row>
    <row r="94">
      <c r="A94" s="33" t="n"/>
      <c r="B94" s="16" t="n"/>
      <c r="C94" s="16" t="n"/>
      <c r="D94" s="16" t="n"/>
      <c r="E94" s="34" t="n"/>
      <c r="F94" s="18" t="n"/>
      <c r="G94" s="35">
        <f>IF($E94="","",$E94*$F94/100)</f>
        <v/>
      </c>
      <c r="H94" s="18" t="n"/>
      <c r="I94" s="35">
        <f>IF($E94="","",$E94*$H94/100)</f>
        <v/>
      </c>
      <c r="J94" s="35">
        <f>IF($E94="","",$E94+$G94-$I94)</f>
        <v/>
      </c>
      <c r="K94" s="16" t="n"/>
      <c r="L94" s="20">
        <f>IF($A94="","",ROUNDUP(MONTH($A94)/3,0))</f>
        <v/>
      </c>
    </row>
    <row r="95">
      <c r="A95" s="33" t="n"/>
      <c r="B95" s="16" t="n"/>
      <c r="C95" s="16" t="n"/>
      <c r="D95" s="16" t="n"/>
      <c r="E95" s="34" t="n"/>
      <c r="F95" s="18" t="n"/>
      <c r="G95" s="35">
        <f>IF($E95="","",$E95*$F95/100)</f>
        <v/>
      </c>
      <c r="H95" s="18" t="n"/>
      <c r="I95" s="35">
        <f>IF($E95="","",$E95*$H95/100)</f>
        <v/>
      </c>
      <c r="J95" s="35">
        <f>IF($E95="","",$E95+$G95-$I95)</f>
        <v/>
      </c>
      <c r="K95" s="16" t="n"/>
      <c r="L95" s="20">
        <f>IF($A95="","",ROUNDUP(MONTH($A95)/3,0))</f>
        <v/>
      </c>
    </row>
    <row r="96">
      <c r="A96" s="33" t="n"/>
      <c r="B96" s="16" t="n"/>
      <c r="C96" s="16" t="n"/>
      <c r="D96" s="16" t="n"/>
      <c r="E96" s="34" t="n"/>
      <c r="F96" s="18" t="n"/>
      <c r="G96" s="35">
        <f>IF($E96="","",$E96*$F96/100)</f>
        <v/>
      </c>
      <c r="H96" s="18" t="n"/>
      <c r="I96" s="35">
        <f>IF($E96="","",$E96*$H96/100)</f>
        <v/>
      </c>
      <c r="J96" s="35">
        <f>IF($E96="","",$E96+$G96-$I96)</f>
        <v/>
      </c>
      <c r="K96" s="16" t="n"/>
      <c r="L96" s="20">
        <f>IF($A96="","",ROUNDUP(MONTH($A96)/3,0))</f>
        <v/>
      </c>
    </row>
    <row r="97">
      <c r="A97" s="33" t="n"/>
      <c r="B97" s="16" t="n"/>
      <c r="C97" s="16" t="n"/>
      <c r="D97" s="16" t="n"/>
      <c r="E97" s="34" t="n"/>
      <c r="F97" s="18" t="n"/>
      <c r="G97" s="35">
        <f>IF($E97="","",$E97*$F97/100)</f>
        <v/>
      </c>
      <c r="H97" s="18" t="n"/>
      <c r="I97" s="35">
        <f>IF($E97="","",$E97*$H97/100)</f>
        <v/>
      </c>
      <c r="J97" s="35">
        <f>IF($E97="","",$E97+$G97-$I97)</f>
        <v/>
      </c>
      <c r="K97" s="16" t="n"/>
      <c r="L97" s="20">
        <f>IF($A97="","",ROUNDUP(MONTH($A97)/3,0))</f>
        <v/>
      </c>
    </row>
    <row r="98">
      <c r="A98" s="33" t="n"/>
      <c r="B98" s="16" t="n"/>
      <c r="C98" s="16" t="n"/>
      <c r="D98" s="16" t="n"/>
      <c r="E98" s="34" t="n"/>
      <c r="F98" s="18" t="n"/>
      <c r="G98" s="35">
        <f>IF($E98="","",$E98*$F98/100)</f>
        <v/>
      </c>
      <c r="H98" s="18" t="n"/>
      <c r="I98" s="35">
        <f>IF($E98="","",$E98*$H98/100)</f>
        <v/>
      </c>
      <c r="J98" s="35">
        <f>IF($E98="","",$E98+$G98-$I98)</f>
        <v/>
      </c>
      <c r="K98" s="16" t="n"/>
      <c r="L98" s="20">
        <f>IF($A98="","",ROUNDUP(MONTH($A98)/3,0))</f>
        <v/>
      </c>
    </row>
    <row r="99">
      <c r="A99" s="33" t="n"/>
      <c r="B99" s="16" t="n"/>
      <c r="C99" s="16" t="n"/>
      <c r="D99" s="16" t="n"/>
      <c r="E99" s="34" t="n"/>
      <c r="F99" s="18" t="n"/>
      <c r="G99" s="35">
        <f>IF($E99="","",$E99*$F99/100)</f>
        <v/>
      </c>
      <c r="H99" s="18" t="n"/>
      <c r="I99" s="35">
        <f>IF($E99="","",$E99*$H99/100)</f>
        <v/>
      </c>
      <c r="J99" s="35">
        <f>IF($E99="","",$E99+$G99-$I99)</f>
        <v/>
      </c>
      <c r="K99" s="16" t="n"/>
      <c r="L99" s="20">
        <f>IF($A99="","",ROUNDUP(MONTH($A99)/3,0))</f>
        <v/>
      </c>
    </row>
    <row r="100">
      <c r="A100" s="33" t="n"/>
      <c r="B100" s="16" t="n"/>
      <c r="C100" s="16" t="n"/>
      <c r="D100" s="16" t="n"/>
      <c r="E100" s="34" t="n"/>
      <c r="F100" s="18" t="n"/>
      <c r="G100" s="35">
        <f>IF($E100="","",$E100*$F100/100)</f>
        <v/>
      </c>
      <c r="H100" s="18" t="n"/>
      <c r="I100" s="35">
        <f>IF($E100="","",$E100*$H100/100)</f>
        <v/>
      </c>
      <c r="J100" s="35">
        <f>IF($E100="","",$E100+$G100-$I100)</f>
        <v/>
      </c>
      <c r="K100" s="16" t="n"/>
      <c r="L100" s="20">
        <f>IF($A100="","",ROUNDUP(MONTH($A100)/3,0))</f>
        <v/>
      </c>
    </row>
    <row r="101">
      <c r="A101" s="33" t="n"/>
      <c r="B101" s="16" t="n"/>
      <c r="C101" s="16" t="n"/>
      <c r="D101" s="16" t="n"/>
      <c r="E101" s="34" t="n"/>
      <c r="F101" s="18" t="n"/>
      <c r="G101" s="35">
        <f>IF($E101="","",$E101*$F101/100)</f>
        <v/>
      </c>
      <c r="H101" s="18" t="n"/>
      <c r="I101" s="35">
        <f>IF($E101="","",$E101*$H101/100)</f>
        <v/>
      </c>
      <c r="J101" s="35">
        <f>IF($E101="","",$E101+$G101-$I101)</f>
        <v/>
      </c>
      <c r="K101" s="16" t="n"/>
      <c r="L101" s="20">
        <f>IF($A101="","",ROUNDUP(MONTH($A101)/3,0))</f>
        <v/>
      </c>
    </row>
    <row r="102">
      <c r="A102" s="33" t="n"/>
      <c r="B102" s="16" t="n"/>
      <c r="C102" s="16" t="n"/>
      <c r="D102" s="16" t="n"/>
      <c r="E102" s="34" t="n"/>
      <c r="F102" s="18" t="n"/>
      <c r="G102" s="35">
        <f>IF($E102="","",$E102*$F102/100)</f>
        <v/>
      </c>
      <c r="H102" s="18" t="n"/>
      <c r="I102" s="35">
        <f>IF($E102="","",$E102*$H102/100)</f>
        <v/>
      </c>
      <c r="J102" s="35">
        <f>IF($E102="","",$E102+$G102-$I102)</f>
        <v/>
      </c>
      <c r="K102" s="16" t="n"/>
      <c r="L102" s="20">
        <f>IF($A102="","",ROUNDUP(MONTH($A102)/3,0))</f>
        <v/>
      </c>
    </row>
    <row r="103">
      <c r="A103" s="33" t="n"/>
      <c r="B103" s="16" t="n"/>
      <c r="C103" s="16" t="n"/>
      <c r="D103" s="16" t="n"/>
      <c r="E103" s="34" t="n"/>
      <c r="F103" s="18" t="n"/>
      <c r="G103" s="35">
        <f>IF($E103="","",$E103*$F103/100)</f>
        <v/>
      </c>
      <c r="H103" s="18" t="n"/>
      <c r="I103" s="35">
        <f>IF($E103="","",$E103*$H103/100)</f>
        <v/>
      </c>
      <c r="J103" s="35">
        <f>IF($E103="","",$E103+$G103-$I103)</f>
        <v/>
      </c>
      <c r="K103" s="16" t="n"/>
      <c r="L103" s="20">
        <f>IF($A103="","",ROUNDUP(MONTH($A103)/3,0))</f>
        <v/>
      </c>
    </row>
    <row r="104">
      <c r="A104" s="33" t="n"/>
      <c r="B104" s="16" t="n"/>
      <c r="C104" s="16" t="n"/>
      <c r="D104" s="16" t="n"/>
      <c r="E104" s="34" t="n"/>
      <c r="F104" s="18" t="n"/>
      <c r="G104" s="35">
        <f>IF($E104="","",$E104*$F104/100)</f>
        <v/>
      </c>
      <c r="H104" s="18" t="n"/>
      <c r="I104" s="35">
        <f>IF($E104="","",$E104*$H104/100)</f>
        <v/>
      </c>
      <c r="J104" s="35">
        <f>IF($E104="","",$E104+$G104-$I104)</f>
        <v/>
      </c>
      <c r="K104" s="16" t="n"/>
      <c r="L104" s="20">
        <f>IF($A104="","",ROUNDUP(MONTH($A104)/3,0))</f>
        <v/>
      </c>
    </row>
    <row r="105">
      <c r="A105" s="33" t="n"/>
      <c r="B105" s="16" t="n"/>
      <c r="C105" s="16" t="n"/>
      <c r="D105" s="16" t="n"/>
      <c r="E105" s="34" t="n"/>
      <c r="F105" s="18" t="n"/>
      <c r="G105" s="35">
        <f>IF($E105="","",$E105*$F105/100)</f>
        <v/>
      </c>
      <c r="H105" s="18" t="n"/>
      <c r="I105" s="35">
        <f>IF($E105="","",$E105*$H105/100)</f>
        <v/>
      </c>
      <c r="J105" s="35">
        <f>IF($E105="","",$E105+$G105-$I105)</f>
        <v/>
      </c>
      <c r="K105" s="16" t="n"/>
      <c r="L105" s="20">
        <f>IF($A105="","",ROUNDUP(MONTH($A105)/3,0))</f>
        <v/>
      </c>
    </row>
    <row r="106">
      <c r="A106" s="33" t="n"/>
      <c r="B106" s="16" t="n"/>
      <c r="C106" s="16" t="n"/>
      <c r="D106" s="16" t="n"/>
      <c r="E106" s="34" t="n"/>
      <c r="F106" s="18" t="n"/>
      <c r="G106" s="35">
        <f>IF($E106="","",$E106*$F106/100)</f>
        <v/>
      </c>
      <c r="H106" s="18" t="n"/>
      <c r="I106" s="35">
        <f>IF($E106="","",$E106*$H106/100)</f>
        <v/>
      </c>
      <c r="J106" s="35">
        <f>IF($E106="","",$E106+$G106-$I106)</f>
        <v/>
      </c>
      <c r="K106" s="16" t="n"/>
      <c r="L106" s="20">
        <f>IF($A106="","",ROUNDUP(MONTH($A106)/3,0))</f>
        <v/>
      </c>
    </row>
    <row r="107">
      <c r="A107" s="33" t="n"/>
      <c r="B107" s="16" t="n"/>
      <c r="C107" s="16" t="n"/>
      <c r="D107" s="16" t="n"/>
      <c r="E107" s="34" t="n"/>
      <c r="F107" s="18" t="n"/>
      <c r="G107" s="35">
        <f>IF($E107="","",$E107*$F107/100)</f>
        <v/>
      </c>
      <c r="H107" s="18" t="n"/>
      <c r="I107" s="35">
        <f>IF($E107="","",$E107*$H107/100)</f>
        <v/>
      </c>
      <c r="J107" s="35">
        <f>IF($E107="","",$E107+$G107-$I107)</f>
        <v/>
      </c>
      <c r="K107" s="16" t="n"/>
      <c r="L107" s="20">
        <f>IF($A107="","",ROUNDUP(MONTH($A107)/3,0))</f>
        <v/>
      </c>
    </row>
    <row r="108">
      <c r="A108" s="33" t="n"/>
      <c r="B108" s="16" t="n"/>
      <c r="C108" s="16" t="n"/>
      <c r="D108" s="16" t="n"/>
      <c r="E108" s="34" t="n"/>
      <c r="F108" s="18" t="n"/>
      <c r="G108" s="35">
        <f>IF($E108="","",$E108*$F108/100)</f>
        <v/>
      </c>
      <c r="H108" s="18" t="n"/>
      <c r="I108" s="35">
        <f>IF($E108="","",$E108*$H108/100)</f>
        <v/>
      </c>
      <c r="J108" s="35">
        <f>IF($E108="","",$E108+$G108-$I108)</f>
        <v/>
      </c>
      <c r="K108" s="16" t="n"/>
      <c r="L108" s="20">
        <f>IF($A108="","",ROUNDUP(MONTH($A108)/3,0))</f>
        <v/>
      </c>
    </row>
    <row r="109">
      <c r="A109" s="33" t="n"/>
      <c r="B109" s="16" t="n"/>
      <c r="C109" s="16" t="n"/>
      <c r="D109" s="16" t="n"/>
      <c r="E109" s="34" t="n"/>
      <c r="F109" s="18" t="n"/>
      <c r="G109" s="35">
        <f>IF($E109="","",$E109*$F109/100)</f>
        <v/>
      </c>
      <c r="H109" s="18" t="n"/>
      <c r="I109" s="35">
        <f>IF($E109="","",$E109*$H109/100)</f>
        <v/>
      </c>
      <c r="J109" s="35">
        <f>IF($E109="","",$E109+$G109-$I109)</f>
        <v/>
      </c>
      <c r="K109" s="16" t="n"/>
      <c r="L109" s="20">
        <f>IF($A109="","",ROUNDUP(MONTH($A109)/3,0))</f>
        <v/>
      </c>
    </row>
    <row r="110">
      <c r="A110" s="33" t="n"/>
      <c r="B110" s="16" t="n"/>
      <c r="C110" s="16" t="n"/>
      <c r="D110" s="16" t="n"/>
      <c r="E110" s="34" t="n"/>
      <c r="F110" s="18" t="n"/>
      <c r="G110" s="35">
        <f>IF($E110="","",$E110*$F110/100)</f>
        <v/>
      </c>
      <c r="H110" s="18" t="n"/>
      <c r="I110" s="35">
        <f>IF($E110="","",$E110*$H110/100)</f>
        <v/>
      </c>
      <c r="J110" s="35">
        <f>IF($E110="","",$E110+$G110-$I110)</f>
        <v/>
      </c>
      <c r="K110" s="16" t="n"/>
      <c r="L110" s="20">
        <f>IF($A110="","",ROUNDUP(MONTH($A110)/3,0))</f>
        <v/>
      </c>
    </row>
    <row r="111">
      <c r="A111" s="33" t="n"/>
      <c r="B111" s="16" t="n"/>
      <c r="C111" s="16" t="n"/>
      <c r="D111" s="16" t="n"/>
      <c r="E111" s="34" t="n"/>
      <c r="F111" s="18" t="n"/>
      <c r="G111" s="35">
        <f>IF($E111="","",$E111*$F111/100)</f>
        <v/>
      </c>
      <c r="H111" s="18" t="n"/>
      <c r="I111" s="35">
        <f>IF($E111="","",$E111*$H111/100)</f>
        <v/>
      </c>
      <c r="J111" s="35">
        <f>IF($E111="","",$E111+$G111-$I111)</f>
        <v/>
      </c>
      <c r="K111" s="16" t="n"/>
      <c r="L111" s="20">
        <f>IF($A111="","",ROUNDUP(MONTH($A111)/3,0))</f>
        <v/>
      </c>
    </row>
    <row r="112">
      <c r="A112" s="33" t="n"/>
      <c r="B112" s="16" t="n"/>
      <c r="C112" s="16" t="n"/>
      <c r="D112" s="16" t="n"/>
      <c r="E112" s="34" t="n"/>
      <c r="F112" s="18" t="n"/>
      <c r="G112" s="35">
        <f>IF($E112="","",$E112*$F112/100)</f>
        <v/>
      </c>
      <c r="H112" s="18" t="n"/>
      <c r="I112" s="35">
        <f>IF($E112="","",$E112*$H112/100)</f>
        <v/>
      </c>
      <c r="J112" s="35">
        <f>IF($E112="","",$E112+$G112-$I112)</f>
        <v/>
      </c>
      <c r="K112" s="16" t="n"/>
      <c r="L112" s="20">
        <f>IF($A112="","",ROUNDUP(MONTH($A112)/3,0))</f>
        <v/>
      </c>
    </row>
    <row r="113">
      <c r="A113" s="33" t="n"/>
      <c r="B113" s="16" t="n"/>
      <c r="C113" s="16" t="n"/>
      <c r="D113" s="16" t="n"/>
      <c r="E113" s="34" t="n"/>
      <c r="F113" s="18" t="n"/>
      <c r="G113" s="35">
        <f>IF($E113="","",$E113*$F113/100)</f>
        <v/>
      </c>
      <c r="H113" s="18" t="n"/>
      <c r="I113" s="35">
        <f>IF($E113="","",$E113*$H113/100)</f>
        <v/>
      </c>
      <c r="J113" s="35">
        <f>IF($E113="","",$E113+$G113-$I113)</f>
        <v/>
      </c>
      <c r="K113" s="16" t="n"/>
      <c r="L113" s="20">
        <f>IF($A113="","",ROUNDUP(MONTH($A113)/3,0))</f>
        <v/>
      </c>
    </row>
    <row r="114">
      <c r="A114" s="33" t="n"/>
      <c r="B114" s="16" t="n"/>
      <c r="C114" s="16" t="n"/>
      <c r="D114" s="16" t="n"/>
      <c r="E114" s="34" t="n"/>
      <c r="F114" s="18" t="n"/>
      <c r="G114" s="35">
        <f>IF($E114="","",$E114*$F114/100)</f>
        <v/>
      </c>
      <c r="H114" s="18" t="n"/>
      <c r="I114" s="35">
        <f>IF($E114="","",$E114*$H114/100)</f>
        <v/>
      </c>
      <c r="J114" s="35">
        <f>IF($E114="","",$E114+$G114-$I114)</f>
        <v/>
      </c>
      <c r="K114" s="16" t="n"/>
      <c r="L114" s="20">
        <f>IF($A114="","",ROUNDUP(MONTH($A114)/3,0))</f>
        <v/>
      </c>
    </row>
    <row r="115">
      <c r="A115" s="33" t="n"/>
      <c r="B115" s="16" t="n"/>
      <c r="C115" s="16" t="n"/>
      <c r="D115" s="16" t="n"/>
      <c r="E115" s="34" t="n"/>
      <c r="F115" s="18" t="n"/>
      <c r="G115" s="35">
        <f>IF($E115="","",$E115*$F115/100)</f>
        <v/>
      </c>
      <c r="H115" s="18" t="n"/>
      <c r="I115" s="35">
        <f>IF($E115="","",$E115*$H115/100)</f>
        <v/>
      </c>
      <c r="J115" s="35">
        <f>IF($E115="","",$E115+$G115-$I115)</f>
        <v/>
      </c>
      <c r="K115" s="16" t="n"/>
      <c r="L115" s="20">
        <f>IF($A115="","",ROUNDUP(MONTH($A115)/3,0))</f>
        <v/>
      </c>
    </row>
    <row r="116">
      <c r="A116" s="33" t="n"/>
      <c r="B116" s="16" t="n"/>
      <c r="C116" s="16" t="n"/>
      <c r="D116" s="16" t="n"/>
      <c r="E116" s="34" t="n"/>
      <c r="F116" s="18" t="n"/>
      <c r="G116" s="35">
        <f>IF($E116="","",$E116*$F116/100)</f>
        <v/>
      </c>
      <c r="H116" s="18" t="n"/>
      <c r="I116" s="35">
        <f>IF($E116="","",$E116*$H116/100)</f>
        <v/>
      </c>
      <c r="J116" s="35">
        <f>IF($E116="","",$E116+$G116-$I116)</f>
        <v/>
      </c>
      <c r="K116" s="16" t="n"/>
      <c r="L116" s="20">
        <f>IF($A116="","",ROUNDUP(MONTH($A116)/3,0))</f>
        <v/>
      </c>
    </row>
    <row r="117">
      <c r="A117" s="33" t="n"/>
      <c r="B117" s="16" t="n"/>
      <c r="C117" s="16" t="n"/>
      <c r="D117" s="16" t="n"/>
      <c r="E117" s="34" t="n"/>
      <c r="F117" s="18" t="n"/>
      <c r="G117" s="35">
        <f>IF($E117="","",$E117*$F117/100)</f>
        <v/>
      </c>
      <c r="H117" s="18" t="n"/>
      <c r="I117" s="35">
        <f>IF($E117="","",$E117*$H117/100)</f>
        <v/>
      </c>
      <c r="J117" s="35">
        <f>IF($E117="","",$E117+$G117-$I117)</f>
        <v/>
      </c>
      <c r="K117" s="16" t="n"/>
      <c r="L117" s="20">
        <f>IF($A117="","",ROUNDUP(MONTH($A117)/3,0))</f>
        <v/>
      </c>
    </row>
    <row r="118">
      <c r="A118" s="33" t="n"/>
      <c r="B118" s="16" t="n"/>
      <c r="C118" s="16" t="n"/>
      <c r="D118" s="16" t="n"/>
      <c r="E118" s="34" t="n"/>
      <c r="F118" s="18" t="n"/>
      <c r="G118" s="35">
        <f>IF($E118="","",$E118*$F118/100)</f>
        <v/>
      </c>
      <c r="H118" s="18" t="n"/>
      <c r="I118" s="35">
        <f>IF($E118="","",$E118*$H118/100)</f>
        <v/>
      </c>
      <c r="J118" s="35">
        <f>IF($E118="","",$E118+$G118-$I118)</f>
        <v/>
      </c>
      <c r="K118" s="16" t="n"/>
      <c r="L118" s="20">
        <f>IF($A118="","",ROUNDUP(MONTH($A118)/3,0))</f>
        <v/>
      </c>
    </row>
    <row r="119">
      <c r="A119" s="33" t="n"/>
      <c r="B119" s="16" t="n"/>
      <c r="C119" s="16" t="n"/>
      <c r="D119" s="16" t="n"/>
      <c r="E119" s="34" t="n"/>
      <c r="F119" s="18" t="n"/>
      <c r="G119" s="35">
        <f>IF($E119="","",$E119*$F119/100)</f>
        <v/>
      </c>
      <c r="H119" s="18" t="n"/>
      <c r="I119" s="35">
        <f>IF($E119="","",$E119*$H119/100)</f>
        <v/>
      </c>
      <c r="J119" s="35">
        <f>IF($E119="","",$E119+$G119-$I119)</f>
        <v/>
      </c>
      <c r="K119" s="16" t="n"/>
      <c r="L119" s="20">
        <f>IF($A119="","",ROUNDUP(MONTH($A119)/3,0))</f>
        <v/>
      </c>
    </row>
    <row r="120">
      <c r="A120" s="33" t="n"/>
      <c r="B120" s="16" t="n"/>
      <c r="C120" s="16" t="n"/>
      <c r="D120" s="16" t="n"/>
      <c r="E120" s="34" t="n"/>
      <c r="F120" s="18" t="n"/>
      <c r="G120" s="35">
        <f>IF($E120="","",$E120*$F120/100)</f>
        <v/>
      </c>
      <c r="H120" s="18" t="n"/>
      <c r="I120" s="35">
        <f>IF($E120="","",$E120*$H120/100)</f>
        <v/>
      </c>
      <c r="J120" s="35">
        <f>IF($E120="","",$E120+$G120-$I120)</f>
        <v/>
      </c>
      <c r="K120" s="16" t="n"/>
      <c r="L120" s="20">
        <f>IF($A120="","",ROUNDUP(MONTH($A120)/3,0))</f>
        <v/>
      </c>
    </row>
    <row r="121">
      <c r="A121" s="33" t="n"/>
      <c r="B121" s="16" t="n"/>
      <c r="C121" s="16" t="n"/>
      <c r="D121" s="16" t="n"/>
      <c r="E121" s="34" t="n"/>
      <c r="F121" s="18" t="n"/>
      <c r="G121" s="35">
        <f>IF($E121="","",$E121*$F121/100)</f>
        <v/>
      </c>
      <c r="H121" s="18" t="n"/>
      <c r="I121" s="35">
        <f>IF($E121="","",$E121*$H121/100)</f>
        <v/>
      </c>
      <c r="J121" s="35">
        <f>IF($E121="","",$E121+$G121-$I121)</f>
        <v/>
      </c>
      <c r="K121" s="16" t="n"/>
      <c r="L121" s="20">
        <f>IF($A121="","",ROUNDUP(MONTH($A121)/3,0))</f>
        <v/>
      </c>
    </row>
    <row r="122">
      <c r="A122" s="33" t="n"/>
      <c r="B122" s="16" t="n"/>
      <c r="C122" s="16" t="n"/>
      <c r="D122" s="16" t="n"/>
      <c r="E122" s="34" t="n"/>
      <c r="F122" s="18" t="n"/>
      <c r="G122" s="35">
        <f>IF($E122="","",$E122*$F122/100)</f>
        <v/>
      </c>
      <c r="H122" s="18" t="n"/>
      <c r="I122" s="35">
        <f>IF($E122="","",$E122*$H122/100)</f>
        <v/>
      </c>
      <c r="J122" s="35">
        <f>IF($E122="","",$E122+$G122-$I122)</f>
        <v/>
      </c>
      <c r="K122" s="16" t="n"/>
      <c r="L122" s="20">
        <f>IF($A122="","",ROUNDUP(MONTH($A122)/3,0))</f>
        <v/>
      </c>
    </row>
    <row r="123">
      <c r="A123" s="33" t="n"/>
      <c r="B123" s="16" t="n"/>
      <c r="C123" s="16" t="n"/>
      <c r="D123" s="16" t="n"/>
      <c r="E123" s="34" t="n"/>
      <c r="F123" s="18" t="n"/>
      <c r="G123" s="35">
        <f>IF($E123="","",$E123*$F123/100)</f>
        <v/>
      </c>
      <c r="H123" s="18" t="n"/>
      <c r="I123" s="35">
        <f>IF($E123="","",$E123*$H123/100)</f>
        <v/>
      </c>
      <c r="J123" s="35">
        <f>IF($E123="","",$E123+$G123-$I123)</f>
        <v/>
      </c>
      <c r="K123" s="16" t="n"/>
      <c r="L123" s="20">
        <f>IF($A123="","",ROUNDUP(MONTH($A123)/3,0))</f>
        <v/>
      </c>
    </row>
    <row r="124">
      <c r="A124" s="33" t="n"/>
      <c r="B124" s="16" t="n"/>
      <c r="C124" s="16" t="n"/>
      <c r="D124" s="16" t="n"/>
      <c r="E124" s="34" t="n"/>
      <c r="F124" s="18" t="n"/>
      <c r="G124" s="35">
        <f>IF($E124="","",$E124*$F124/100)</f>
        <v/>
      </c>
      <c r="H124" s="18" t="n"/>
      <c r="I124" s="35">
        <f>IF($E124="","",$E124*$H124/100)</f>
        <v/>
      </c>
      <c r="J124" s="35">
        <f>IF($E124="","",$E124+$G124-$I124)</f>
        <v/>
      </c>
      <c r="K124" s="16" t="n"/>
      <c r="L124" s="20">
        <f>IF($A124="","",ROUNDUP(MONTH($A124)/3,0))</f>
        <v/>
      </c>
    </row>
    <row r="125">
      <c r="A125" s="33" t="n"/>
      <c r="B125" s="16" t="n"/>
      <c r="C125" s="16" t="n"/>
      <c r="D125" s="16" t="n"/>
      <c r="E125" s="34" t="n"/>
      <c r="F125" s="18" t="n"/>
      <c r="G125" s="35">
        <f>IF($E125="","",$E125*$F125/100)</f>
        <v/>
      </c>
      <c r="H125" s="18" t="n"/>
      <c r="I125" s="35">
        <f>IF($E125="","",$E125*$H125/100)</f>
        <v/>
      </c>
      <c r="J125" s="35">
        <f>IF($E125="","",$E125+$G125-$I125)</f>
        <v/>
      </c>
      <c r="K125" s="16" t="n"/>
      <c r="L125" s="20">
        <f>IF($A125="","",ROUNDUP(MONTH($A125)/3,0))</f>
        <v/>
      </c>
    </row>
    <row r="126">
      <c r="A126" s="33" t="n"/>
      <c r="B126" s="16" t="n"/>
      <c r="C126" s="16" t="n"/>
      <c r="D126" s="16" t="n"/>
      <c r="E126" s="34" t="n"/>
      <c r="F126" s="18" t="n"/>
      <c r="G126" s="35">
        <f>IF($E126="","",$E126*$F126/100)</f>
        <v/>
      </c>
      <c r="H126" s="18" t="n"/>
      <c r="I126" s="35">
        <f>IF($E126="","",$E126*$H126/100)</f>
        <v/>
      </c>
      <c r="J126" s="35">
        <f>IF($E126="","",$E126+$G126-$I126)</f>
        <v/>
      </c>
      <c r="K126" s="16" t="n"/>
      <c r="L126" s="20">
        <f>IF($A126="","",ROUNDUP(MONTH($A126)/3,0))</f>
        <v/>
      </c>
    </row>
    <row r="127">
      <c r="A127" s="33" t="n"/>
      <c r="B127" s="16" t="n"/>
      <c r="C127" s="16" t="n"/>
      <c r="D127" s="16" t="n"/>
      <c r="E127" s="34" t="n"/>
      <c r="F127" s="18" t="n"/>
      <c r="G127" s="35">
        <f>IF($E127="","",$E127*$F127/100)</f>
        <v/>
      </c>
      <c r="H127" s="18" t="n"/>
      <c r="I127" s="35">
        <f>IF($E127="","",$E127*$H127/100)</f>
        <v/>
      </c>
      <c r="J127" s="35">
        <f>IF($E127="","",$E127+$G127-$I127)</f>
        <v/>
      </c>
      <c r="K127" s="16" t="n"/>
      <c r="L127" s="20">
        <f>IF($A127="","",ROUNDUP(MONTH($A127)/3,0))</f>
        <v/>
      </c>
    </row>
    <row r="128">
      <c r="A128" s="33" t="n"/>
      <c r="B128" s="16" t="n"/>
      <c r="C128" s="16" t="n"/>
      <c r="D128" s="16" t="n"/>
      <c r="E128" s="34" t="n"/>
      <c r="F128" s="18" t="n"/>
      <c r="G128" s="35">
        <f>IF($E128="","",$E128*$F128/100)</f>
        <v/>
      </c>
      <c r="H128" s="18" t="n"/>
      <c r="I128" s="35">
        <f>IF($E128="","",$E128*$H128/100)</f>
        <v/>
      </c>
      <c r="J128" s="35">
        <f>IF($E128="","",$E128+$G128-$I128)</f>
        <v/>
      </c>
      <c r="K128" s="16" t="n"/>
      <c r="L128" s="20">
        <f>IF($A128="","",ROUNDUP(MONTH($A128)/3,0))</f>
        <v/>
      </c>
    </row>
    <row r="129">
      <c r="A129" s="33" t="n"/>
      <c r="B129" s="16" t="n"/>
      <c r="C129" s="16" t="n"/>
      <c r="D129" s="16" t="n"/>
      <c r="E129" s="34" t="n"/>
      <c r="F129" s="18" t="n"/>
      <c r="G129" s="35">
        <f>IF($E129="","",$E129*$F129/100)</f>
        <v/>
      </c>
      <c r="H129" s="18" t="n"/>
      <c r="I129" s="35">
        <f>IF($E129="","",$E129*$H129/100)</f>
        <v/>
      </c>
      <c r="J129" s="35">
        <f>IF($E129="","",$E129+$G129-$I129)</f>
        <v/>
      </c>
      <c r="K129" s="16" t="n"/>
      <c r="L129" s="20">
        <f>IF($A129="","",ROUNDUP(MONTH($A129)/3,0))</f>
        <v/>
      </c>
    </row>
    <row r="130">
      <c r="A130" s="33" t="n"/>
      <c r="B130" s="16" t="n"/>
      <c r="C130" s="16" t="n"/>
      <c r="D130" s="16" t="n"/>
      <c r="E130" s="34" t="n"/>
      <c r="F130" s="18" t="n"/>
      <c r="G130" s="35">
        <f>IF($E130="","",$E130*$F130/100)</f>
        <v/>
      </c>
      <c r="H130" s="18" t="n"/>
      <c r="I130" s="35">
        <f>IF($E130="","",$E130*$H130/100)</f>
        <v/>
      </c>
      <c r="J130" s="35">
        <f>IF($E130="","",$E130+$G130-$I130)</f>
        <v/>
      </c>
      <c r="K130" s="16" t="n"/>
      <c r="L130" s="20">
        <f>IF($A130="","",ROUNDUP(MONTH($A130)/3,0))</f>
        <v/>
      </c>
    </row>
    <row r="131">
      <c r="A131" s="33" t="n"/>
      <c r="B131" s="16" t="n"/>
      <c r="C131" s="16" t="n"/>
      <c r="D131" s="16" t="n"/>
      <c r="E131" s="34" t="n"/>
      <c r="F131" s="18" t="n"/>
      <c r="G131" s="35">
        <f>IF($E131="","",$E131*$F131/100)</f>
        <v/>
      </c>
      <c r="H131" s="18" t="n"/>
      <c r="I131" s="35">
        <f>IF($E131="","",$E131*$H131/100)</f>
        <v/>
      </c>
      <c r="J131" s="35">
        <f>IF($E131="","",$E131+$G131-$I131)</f>
        <v/>
      </c>
      <c r="K131" s="16" t="n"/>
      <c r="L131" s="20">
        <f>IF($A131="","",ROUNDUP(MONTH($A131)/3,0))</f>
        <v/>
      </c>
    </row>
    <row r="132">
      <c r="A132" s="33" t="n"/>
      <c r="B132" s="16" t="n"/>
      <c r="C132" s="16" t="n"/>
      <c r="D132" s="16" t="n"/>
      <c r="E132" s="34" t="n"/>
      <c r="F132" s="18" t="n"/>
      <c r="G132" s="35">
        <f>IF($E132="","",$E132*$F132/100)</f>
        <v/>
      </c>
      <c r="H132" s="18" t="n"/>
      <c r="I132" s="35">
        <f>IF($E132="","",$E132*$H132/100)</f>
        <v/>
      </c>
      <c r="J132" s="35">
        <f>IF($E132="","",$E132+$G132-$I132)</f>
        <v/>
      </c>
      <c r="K132" s="16" t="n"/>
      <c r="L132" s="20">
        <f>IF($A132="","",ROUNDUP(MONTH($A132)/3,0))</f>
        <v/>
      </c>
    </row>
    <row r="133">
      <c r="A133" s="33" t="n"/>
      <c r="B133" s="16" t="n"/>
      <c r="C133" s="16" t="n"/>
      <c r="D133" s="16" t="n"/>
      <c r="E133" s="34" t="n"/>
      <c r="F133" s="18" t="n"/>
      <c r="G133" s="35">
        <f>IF($E133="","",$E133*$F133/100)</f>
        <v/>
      </c>
      <c r="H133" s="18" t="n"/>
      <c r="I133" s="35">
        <f>IF($E133="","",$E133*$H133/100)</f>
        <v/>
      </c>
      <c r="J133" s="35">
        <f>IF($E133="","",$E133+$G133-$I133)</f>
        <v/>
      </c>
      <c r="K133" s="16" t="n"/>
      <c r="L133" s="20">
        <f>IF($A133="","",ROUNDUP(MONTH($A133)/3,0))</f>
        <v/>
      </c>
    </row>
    <row r="134">
      <c r="A134" s="33" t="n"/>
      <c r="B134" s="16" t="n"/>
      <c r="C134" s="16" t="n"/>
      <c r="D134" s="16" t="n"/>
      <c r="E134" s="34" t="n"/>
      <c r="F134" s="18" t="n"/>
      <c r="G134" s="35">
        <f>IF($E134="","",$E134*$F134/100)</f>
        <v/>
      </c>
      <c r="H134" s="18" t="n"/>
      <c r="I134" s="35">
        <f>IF($E134="","",$E134*$H134/100)</f>
        <v/>
      </c>
      <c r="J134" s="35">
        <f>IF($E134="","",$E134+$G134-$I134)</f>
        <v/>
      </c>
      <c r="K134" s="16" t="n"/>
      <c r="L134" s="20">
        <f>IF($A134="","",ROUNDUP(MONTH($A134)/3,0))</f>
        <v/>
      </c>
    </row>
    <row r="135">
      <c r="A135" s="33" t="n"/>
      <c r="B135" s="16" t="n"/>
      <c r="C135" s="16" t="n"/>
      <c r="D135" s="16" t="n"/>
      <c r="E135" s="34" t="n"/>
      <c r="F135" s="18" t="n"/>
      <c r="G135" s="35">
        <f>IF($E135="","",$E135*$F135/100)</f>
        <v/>
      </c>
      <c r="H135" s="18" t="n"/>
      <c r="I135" s="35">
        <f>IF($E135="","",$E135*$H135/100)</f>
        <v/>
      </c>
      <c r="J135" s="35">
        <f>IF($E135="","",$E135+$G135-$I135)</f>
        <v/>
      </c>
      <c r="K135" s="16" t="n"/>
      <c r="L135" s="20">
        <f>IF($A135="","",ROUNDUP(MONTH($A135)/3,0))</f>
        <v/>
      </c>
    </row>
    <row r="136">
      <c r="A136" s="33" t="n"/>
      <c r="B136" s="16" t="n"/>
      <c r="C136" s="16" t="n"/>
      <c r="D136" s="16" t="n"/>
      <c r="E136" s="34" t="n"/>
      <c r="F136" s="18" t="n"/>
      <c r="G136" s="35">
        <f>IF($E136="","",$E136*$F136/100)</f>
        <v/>
      </c>
      <c r="H136" s="18" t="n"/>
      <c r="I136" s="35">
        <f>IF($E136="","",$E136*$H136/100)</f>
        <v/>
      </c>
      <c r="J136" s="35">
        <f>IF($E136="","",$E136+$G136-$I136)</f>
        <v/>
      </c>
      <c r="K136" s="16" t="n"/>
      <c r="L136" s="20">
        <f>IF($A136="","",ROUNDUP(MONTH($A136)/3,0))</f>
        <v/>
      </c>
    </row>
    <row r="137">
      <c r="A137" s="33" t="n"/>
      <c r="B137" s="16" t="n"/>
      <c r="C137" s="16" t="n"/>
      <c r="D137" s="16" t="n"/>
      <c r="E137" s="34" t="n"/>
      <c r="F137" s="18" t="n"/>
      <c r="G137" s="35">
        <f>IF($E137="","",$E137*$F137/100)</f>
        <v/>
      </c>
      <c r="H137" s="18" t="n"/>
      <c r="I137" s="35">
        <f>IF($E137="","",$E137*$H137/100)</f>
        <v/>
      </c>
      <c r="J137" s="35">
        <f>IF($E137="","",$E137+$G137-$I137)</f>
        <v/>
      </c>
      <c r="K137" s="16" t="n"/>
      <c r="L137" s="20">
        <f>IF($A137="","",ROUNDUP(MONTH($A137)/3,0))</f>
        <v/>
      </c>
    </row>
    <row r="138">
      <c r="A138" s="33" t="n"/>
      <c r="B138" s="16" t="n"/>
      <c r="C138" s="16" t="n"/>
      <c r="D138" s="16" t="n"/>
      <c r="E138" s="34" t="n"/>
      <c r="F138" s="18" t="n"/>
      <c r="G138" s="35">
        <f>IF($E138="","",$E138*$F138/100)</f>
        <v/>
      </c>
      <c r="H138" s="18" t="n"/>
      <c r="I138" s="35">
        <f>IF($E138="","",$E138*$H138/100)</f>
        <v/>
      </c>
      <c r="J138" s="35">
        <f>IF($E138="","",$E138+$G138-$I138)</f>
        <v/>
      </c>
      <c r="K138" s="16" t="n"/>
      <c r="L138" s="20">
        <f>IF($A138="","",ROUNDUP(MONTH($A138)/3,0))</f>
        <v/>
      </c>
    </row>
    <row r="139">
      <c r="A139" s="33" t="n"/>
      <c r="B139" s="16" t="n"/>
      <c r="C139" s="16" t="n"/>
      <c r="D139" s="16" t="n"/>
      <c r="E139" s="34" t="n"/>
      <c r="F139" s="18" t="n"/>
      <c r="G139" s="35">
        <f>IF($E139="","",$E139*$F139/100)</f>
        <v/>
      </c>
      <c r="H139" s="18" t="n"/>
      <c r="I139" s="35">
        <f>IF($E139="","",$E139*$H139/100)</f>
        <v/>
      </c>
      <c r="J139" s="35">
        <f>IF($E139="","",$E139+$G139-$I139)</f>
        <v/>
      </c>
      <c r="K139" s="16" t="n"/>
      <c r="L139" s="20">
        <f>IF($A139="","",ROUNDUP(MONTH($A139)/3,0))</f>
        <v/>
      </c>
    </row>
    <row r="140">
      <c r="A140" s="33" t="n"/>
      <c r="B140" s="16" t="n"/>
      <c r="C140" s="16" t="n"/>
      <c r="D140" s="16" t="n"/>
      <c r="E140" s="34" t="n"/>
      <c r="F140" s="18" t="n"/>
      <c r="G140" s="35">
        <f>IF($E140="","",$E140*$F140/100)</f>
        <v/>
      </c>
      <c r="H140" s="18" t="n"/>
      <c r="I140" s="35">
        <f>IF($E140="","",$E140*$H140/100)</f>
        <v/>
      </c>
      <c r="J140" s="35">
        <f>IF($E140="","",$E140+$G140-$I140)</f>
        <v/>
      </c>
      <c r="K140" s="16" t="n"/>
      <c r="L140" s="20">
        <f>IF($A140="","",ROUNDUP(MONTH($A140)/3,0))</f>
        <v/>
      </c>
    </row>
    <row r="141">
      <c r="A141" s="33" t="n"/>
      <c r="B141" s="16" t="n"/>
      <c r="C141" s="16" t="n"/>
      <c r="D141" s="16" t="n"/>
      <c r="E141" s="34" t="n"/>
      <c r="F141" s="18" t="n"/>
      <c r="G141" s="35">
        <f>IF($E141="","",$E141*$F141/100)</f>
        <v/>
      </c>
      <c r="H141" s="18" t="n"/>
      <c r="I141" s="35">
        <f>IF($E141="","",$E141*$H141/100)</f>
        <v/>
      </c>
      <c r="J141" s="35">
        <f>IF($E141="","",$E141+$G141-$I141)</f>
        <v/>
      </c>
      <c r="K141" s="16" t="n"/>
      <c r="L141" s="20">
        <f>IF($A141="","",ROUNDUP(MONTH($A141)/3,0))</f>
        <v/>
      </c>
    </row>
    <row r="142">
      <c r="A142" s="33" t="n"/>
      <c r="B142" s="16" t="n"/>
      <c r="C142" s="16" t="n"/>
      <c r="D142" s="16" t="n"/>
      <c r="E142" s="34" t="n"/>
      <c r="F142" s="18" t="n"/>
      <c r="G142" s="35">
        <f>IF($E142="","",$E142*$F142/100)</f>
        <v/>
      </c>
      <c r="H142" s="18" t="n"/>
      <c r="I142" s="35">
        <f>IF($E142="","",$E142*$H142/100)</f>
        <v/>
      </c>
      <c r="J142" s="35">
        <f>IF($E142="","",$E142+$G142-$I142)</f>
        <v/>
      </c>
      <c r="K142" s="16" t="n"/>
      <c r="L142" s="20">
        <f>IF($A142="","",ROUNDUP(MONTH($A142)/3,0))</f>
        <v/>
      </c>
    </row>
    <row r="143">
      <c r="A143" s="33" t="n"/>
      <c r="B143" s="16" t="n"/>
      <c r="C143" s="16" t="n"/>
      <c r="D143" s="16" t="n"/>
      <c r="E143" s="34" t="n"/>
      <c r="F143" s="18" t="n"/>
      <c r="G143" s="35">
        <f>IF($E143="","",$E143*$F143/100)</f>
        <v/>
      </c>
      <c r="H143" s="18" t="n"/>
      <c r="I143" s="35">
        <f>IF($E143="","",$E143*$H143/100)</f>
        <v/>
      </c>
      <c r="J143" s="35">
        <f>IF($E143="","",$E143+$G143-$I143)</f>
        <v/>
      </c>
      <c r="K143" s="16" t="n"/>
      <c r="L143" s="20">
        <f>IF($A143="","",ROUNDUP(MONTH($A143)/3,0))</f>
        <v/>
      </c>
    </row>
    <row r="144">
      <c r="A144" s="33" t="n"/>
      <c r="B144" s="16" t="n"/>
      <c r="C144" s="16" t="n"/>
      <c r="D144" s="16" t="n"/>
      <c r="E144" s="34" t="n"/>
      <c r="F144" s="18" t="n"/>
      <c r="G144" s="35">
        <f>IF($E144="","",$E144*$F144/100)</f>
        <v/>
      </c>
      <c r="H144" s="18" t="n"/>
      <c r="I144" s="35">
        <f>IF($E144="","",$E144*$H144/100)</f>
        <v/>
      </c>
      <c r="J144" s="35">
        <f>IF($E144="","",$E144+$G144-$I144)</f>
        <v/>
      </c>
      <c r="K144" s="16" t="n"/>
      <c r="L144" s="20">
        <f>IF($A144="","",ROUNDUP(MONTH($A144)/3,0))</f>
        <v/>
      </c>
    </row>
    <row r="145">
      <c r="A145" s="33" t="n"/>
      <c r="B145" s="16" t="n"/>
      <c r="C145" s="16" t="n"/>
      <c r="D145" s="16" t="n"/>
      <c r="E145" s="34" t="n"/>
      <c r="F145" s="18" t="n"/>
      <c r="G145" s="35">
        <f>IF($E145="","",$E145*$F145/100)</f>
        <v/>
      </c>
      <c r="H145" s="18" t="n"/>
      <c r="I145" s="35">
        <f>IF($E145="","",$E145*$H145/100)</f>
        <v/>
      </c>
      <c r="J145" s="35">
        <f>IF($E145="","",$E145+$G145-$I145)</f>
        <v/>
      </c>
      <c r="K145" s="16" t="n"/>
      <c r="L145" s="20">
        <f>IF($A145="","",ROUNDUP(MONTH($A145)/3,0))</f>
        <v/>
      </c>
    </row>
    <row r="146">
      <c r="A146" s="33" t="n"/>
      <c r="B146" s="16" t="n"/>
      <c r="C146" s="16" t="n"/>
      <c r="D146" s="16" t="n"/>
      <c r="E146" s="34" t="n"/>
      <c r="F146" s="18" t="n"/>
      <c r="G146" s="35">
        <f>IF($E146="","",$E146*$F146/100)</f>
        <v/>
      </c>
      <c r="H146" s="18" t="n"/>
      <c r="I146" s="35">
        <f>IF($E146="","",$E146*$H146/100)</f>
        <v/>
      </c>
      <c r="J146" s="35">
        <f>IF($E146="","",$E146+$G146-$I146)</f>
        <v/>
      </c>
      <c r="K146" s="16" t="n"/>
      <c r="L146" s="20">
        <f>IF($A146="","",ROUNDUP(MONTH($A146)/3,0))</f>
        <v/>
      </c>
    </row>
    <row r="147">
      <c r="A147" s="33" t="n"/>
      <c r="B147" s="16" t="n"/>
      <c r="C147" s="16" t="n"/>
      <c r="D147" s="16" t="n"/>
      <c r="E147" s="34" t="n"/>
      <c r="F147" s="18" t="n"/>
      <c r="G147" s="35">
        <f>IF($E147="","",$E147*$F147/100)</f>
        <v/>
      </c>
      <c r="H147" s="18" t="n"/>
      <c r="I147" s="35">
        <f>IF($E147="","",$E147*$H147/100)</f>
        <v/>
      </c>
      <c r="J147" s="35">
        <f>IF($E147="","",$E147+$G147-$I147)</f>
        <v/>
      </c>
      <c r="K147" s="16" t="n"/>
      <c r="L147" s="20">
        <f>IF($A147="","",ROUNDUP(MONTH($A147)/3,0))</f>
        <v/>
      </c>
    </row>
    <row r="148">
      <c r="A148" s="33" t="n"/>
      <c r="B148" s="16" t="n"/>
      <c r="C148" s="16" t="n"/>
      <c r="D148" s="16" t="n"/>
      <c r="E148" s="34" t="n"/>
      <c r="F148" s="18" t="n"/>
      <c r="G148" s="35">
        <f>IF($E148="","",$E148*$F148/100)</f>
        <v/>
      </c>
      <c r="H148" s="18" t="n"/>
      <c r="I148" s="35">
        <f>IF($E148="","",$E148*$H148/100)</f>
        <v/>
      </c>
      <c r="J148" s="35">
        <f>IF($E148="","",$E148+$G148-$I148)</f>
        <v/>
      </c>
      <c r="K148" s="16" t="n"/>
      <c r="L148" s="20">
        <f>IF($A148="","",ROUNDUP(MONTH($A148)/3,0))</f>
        <v/>
      </c>
    </row>
    <row r="149">
      <c r="A149" s="33" t="n"/>
      <c r="B149" s="16" t="n"/>
      <c r="C149" s="16" t="n"/>
      <c r="D149" s="16" t="n"/>
      <c r="E149" s="34" t="n"/>
      <c r="F149" s="18" t="n"/>
      <c r="G149" s="35">
        <f>IF($E149="","",$E149*$F149/100)</f>
        <v/>
      </c>
      <c r="H149" s="18" t="n"/>
      <c r="I149" s="35">
        <f>IF($E149="","",$E149*$H149/100)</f>
        <v/>
      </c>
      <c r="J149" s="35">
        <f>IF($E149="","",$E149+$G149-$I149)</f>
        <v/>
      </c>
      <c r="K149" s="16" t="n"/>
      <c r="L149" s="20">
        <f>IF($A149="","",ROUNDUP(MONTH($A149)/3,0))</f>
        <v/>
      </c>
    </row>
    <row r="150">
      <c r="A150" s="33" t="n"/>
      <c r="B150" s="16" t="n"/>
      <c r="C150" s="16" t="n"/>
      <c r="D150" s="16" t="n"/>
      <c r="E150" s="34" t="n"/>
      <c r="F150" s="18" t="n"/>
      <c r="G150" s="35">
        <f>IF($E150="","",$E150*$F150/100)</f>
        <v/>
      </c>
      <c r="H150" s="18" t="n"/>
      <c r="I150" s="35">
        <f>IF($E150="","",$E150*$H150/100)</f>
        <v/>
      </c>
      <c r="J150" s="35">
        <f>IF($E150="","",$E150+$G150-$I150)</f>
        <v/>
      </c>
      <c r="K150" s="16" t="n"/>
      <c r="L150" s="20">
        <f>IF($A150="","",ROUNDUP(MONTH($A150)/3,0))</f>
        <v/>
      </c>
    </row>
    <row r="151">
      <c r="A151" s="33" t="n"/>
      <c r="B151" s="16" t="n"/>
      <c r="C151" s="16" t="n"/>
      <c r="D151" s="16" t="n"/>
      <c r="E151" s="34" t="n"/>
      <c r="F151" s="18" t="n"/>
      <c r="G151" s="35">
        <f>IF($E151="","",$E151*$F151/100)</f>
        <v/>
      </c>
      <c r="H151" s="18" t="n"/>
      <c r="I151" s="35">
        <f>IF($E151="","",$E151*$H151/100)</f>
        <v/>
      </c>
      <c r="J151" s="35">
        <f>IF($E151="","",$E151+$G151-$I151)</f>
        <v/>
      </c>
      <c r="K151" s="16" t="n"/>
      <c r="L151" s="20">
        <f>IF($A151="","",ROUNDUP(MONTH($A151)/3,0))</f>
        <v/>
      </c>
    </row>
    <row r="152">
      <c r="A152" s="33" t="n"/>
      <c r="B152" s="16" t="n"/>
      <c r="C152" s="16" t="n"/>
      <c r="D152" s="16" t="n"/>
      <c r="E152" s="34" t="n"/>
      <c r="F152" s="18" t="n"/>
      <c r="G152" s="35">
        <f>IF($E152="","",$E152*$F152/100)</f>
        <v/>
      </c>
      <c r="H152" s="18" t="n"/>
      <c r="I152" s="35">
        <f>IF($E152="","",$E152*$H152/100)</f>
        <v/>
      </c>
      <c r="J152" s="35">
        <f>IF($E152="","",$E152+$G152-$I152)</f>
        <v/>
      </c>
      <c r="K152" s="16" t="n"/>
      <c r="L152" s="20">
        <f>IF($A152="","",ROUNDUP(MONTH($A152)/3,0))</f>
        <v/>
      </c>
    </row>
    <row r="153">
      <c r="A153" s="33" t="n"/>
      <c r="B153" s="16" t="n"/>
      <c r="C153" s="16" t="n"/>
      <c r="D153" s="16" t="n"/>
      <c r="E153" s="34" t="n"/>
      <c r="F153" s="18" t="n"/>
      <c r="G153" s="35">
        <f>IF($E153="","",$E153*$F153/100)</f>
        <v/>
      </c>
      <c r="H153" s="18" t="n"/>
      <c r="I153" s="35">
        <f>IF($E153="","",$E153*$H153/100)</f>
        <v/>
      </c>
      <c r="J153" s="35">
        <f>IF($E153="","",$E153+$G153-$I153)</f>
        <v/>
      </c>
      <c r="K153" s="16" t="n"/>
      <c r="L153" s="20">
        <f>IF($A153="","",ROUNDUP(MONTH($A153)/3,0))</f>
        <v/>
      </c>
    </row>
    <row r="154">
      <c r="A154" s="33" t="n"/>
      <c r="B154" s="16" t="n"/>
      <c r="C154" s="16" t="n"/>
      <c r="D154" s="16" t="n"/>
      <c r="E154" s="34" t="n"/>
      <c r="F154" s="18" t="n"/>
      <c r="G154" s="35">
        <f>IF($E154="","",$E154*$F154/100)</f>
        <v/>
      </c>
      <c r="H154" s="18" t="n"/>
      <c r="I154" s="35">
        <f>IF($E154="","",$E154*$H154/100)</f>
        <v/>
      </c>
      <c r="J154" s="35">
        <f>IF($E154="","",$E154+$G154-$I154)</f>
        <v/>
      </c>
      <c r="K154" s="16" t="n"/>
      <c r="L154" s="20">
        <f>IF($A154="","",ROUNDUP(MONTH($A154)/3,0))</f>
        <v/>
      </c>
    </row>
    <row r="155">
      <c r="A155" s="33" t="n"/>
      <c r="B155" s="16" t="n"/>
      <c r="C155" s="16" t="n"/>
      <c r="D155" s="16" t="n"/>
      <c r="E155" s="34" t="n"/>
      <c r="F155" s="18" t="n"/>
      <c r="G155" s="35">
        <f>IF($E155="","",$E155*$F155/100)</f>
        <v/>
      </c>
      <c r="H155" s="18" t="n"/>
      <c r="I155" s="35">
        <f>IF($E155="","",$E155*$H155/100)</f>
        <v/>
      </c>
      <c r="J155" s="35">
        <f>IF($E155="","",$E155+$G155-$I155)</f>
        <v/>
      </c>
      <c r="K155" s="16" t="n"/>
      <c r="L155" s="20">
        <f>IF($A155="","",ROUNDUP(MONTH($A155)/3,0))</f>
        <v/>
      </c>
    </row>
    <row r="156">
      <c r="A156" s="33" t="n"/>
      <c r="B156" s="16" t="n"/>
      <c r="C156" s="16" t="n"/>
      <c r="D156" s="16" t="n"/>
      <c r="E156" s="34" t="n"/>
      <c r="F156" s="18" t="n"/>
      <c r="G156" s="35">
        <f>IF($E156="","",$E156*$F156/100)</f>
        <v/>
      </c>
      <c r="H156" s="18" t="n"/>
      <c r="I156" s="35">
        <f>IF($E156="","",$E156*$H156/100)</f>
        <v/>
      </c>
      <c r="J156" s="35">
        <f>IF($E156="","",$E156+$G156-$I156)</f>
        <v/>
      </c>
      <c r="K156" s="16" t="n"/>
      <c r="L156" s="20">
        <f>IF($A156="","",ROUNDUP(MONTH($A156)/3,0))</f>
        <v/>
      </c>
    </row>
    <row r="157">
      <c r="A157" s="33" t="n"/>
      <c r="B157" s="16" t="n"/>
      <c r="C157" s="16" t="n"/>
      <c r="D157" s="16" t="n"/>
      <c r="E157" s="34" t="n"/>
      <c r="F157" s="18" t="n"/>
      <c r="G157" s="35">
        <f>IF($E157="","",$E157*$F157/100)</f>
        <v/>
      </c>
      <c r="H157" s="18" t="n"/>
      <c r="I157" s="35">
        <f>IF($E157="","",$E157*$H157/100)</f>
        <v/>
      </c>
      <c r="J157" s="35">
        <f>IF($E157="","",$E157+$G157-$I157)</f>
        <v/>
      </c>
      <c r="K157" s="16" t="n"/>
      <c r="L157" s="20">
        <f>IF($A157="","",ROUNDUP(MONTH($A157)/3,0))</f>
        <v/>
      </c>
    </row>
    <row r="158">
      <c r="A158" s="33" t="n"/>
      <c r="B158" s="16" t="n"/>
      <c r="C158" s="16" t="n"/>
      <c r="D158" s="16" t="n"/>
      <c r="E158" s="34" t="n"/>
      <c r="F158" s="18" t="n"/>
      <c r="G158" s="35">
        <f>IF($E158="","",$E158*$F158/100)</f>
        <v/>
      </c>
      <c r="H158" s="18" t="n"/>
      <c r="I158" s="35">
        <f>IF($E158="","",$E158*$H158/100)</f>
        <v/>
      </c>
      <c r="J158" s="35">
        <f>IF($E158="","",$E158+$G158-$I158)</f>
        <v/>
      </c>
      <c r="K158" s="16" t="n"/>
      <c r="L158" s="20">
        <f>IF($A158="","",ROUNDUP(MONTH($A158)/3,0))</f>
        <v/>
      </c>
    </row>
    <row r="159">
      <c r="A159" s="33" t="n"/>
      <c r="B159" s="16" t="n"/>
      <c r="C159" s="16" t="n"/>
      <c r="D159" s="16" t="n"/>
      <c r="E159" s="34" t="n"/>
      <c r="F159" s="18" t="n"/>
      <c r="G159" s="35">
        <f>IF($E159="","",$E159*$F159/100)</f>
        <v/>
      </c>
      <c r="H159" s="18" t="n"/>
      <c r="I159" s="35">
        <f>IF($E159="","",$E159*$H159/100)</f>
        <v/>
      </c>
      <c r="J159" s="35">
        <f>IF($E159="","",$E159+$G159-$I159)</f>
        <v/>
      </c>
      <c r="K159" s="16" t="n"/>
      <c r="L159" s="20">
        <f>IF($A159="","",ROUNDUP(MONTH($A159)/3,0))</f>
        <v/>
      </c>
    </row>
    <row r="160">
      <c r="A160" s="33" t="n"/>
      <c r="B160" s="16" t="n"/>
      <c r="C160" s="16" t="n"/>
      <c r="D160" s="16" t="n"/>
      <c r="E160" s="34" t="n"/>
      <c r="F160" s="18" t="n"/>
      <c r="G160" s="35">
        <f>IF($E160="","",$E160*$F160/100)</f>
        <v/>
      </c>
      <c r="H160" s="18" t="n"/>
      <c r="I160" s="35">
        <f>IF($E160="","",$E160*$H160/100)</f>
        <v/>
      </c>
      <c r="J160" s="35">
        <f>IF($E160="","",$E160+$G160-$I160)</f>
        <v/>
      </c>
      <c r="K160" s="16" t="n"/>
      <c r="L160" s="20">
        <f>IF($A160="","",ROUNDUP(MONTH($A160)/3,0))</f>
        <v/>
      </c>
    </row>
    <row r="161">
      <c r="A161" s="33" t="n"/>
      <c r="B161" s="16" t="n"/>
      <c r="C161" s="16" t="n"/>
      <c r="D161" s="16" t="n"/>
      <c r="E161" s="34" t="n"/>
      <c r="F161" s="18" t="n"/>
      <c r="G161" s="35">
        <f>IF($E161="","",$E161*$F161/100)</f>
        <v/>
      </c>
      <c r="H161" s="18" t="n"/>
      <c r="I161" s="35">
        <f>IF($E161="","",$E161*$H161/100)</f>
        <v/>
      </c>
      <c r="J161" s="35">
        <f>IF($E161="","",$E161+$G161-$I161)</f>
        <v/>
      </c>
      <c r="K161" s="16" t="n"/>
      <c r="L161" s="20">
        <f>IF($A161="","",ROUNDUP(MONTH($A161)/3,0))</f>
        <v/>
      </c>
    </row>
    <row r="162">
      <c r="A162" s="33" t="n"/>
      <c r="B162" s="16" t="n"/>
      <c r="C162" s="16" t="n"/>
      <c r="D162" s="16" t="n"/>
      <c r="E162" s="34" t="n"/>
      <c r="F162" s="18" t="n"/>
      <c r="G162" s="35">
        <f>IF($E162="","",$E162*$F162/100)</f>
        <v/>
      </c>
      <c r="H162" s="18" t="n"/>
      <c r="I162" s="35">
        <f>IF($E162="","",$E162*$H162/100)</f>
        <v/>
      </c>
      <c r="J162" s="35">
        <f>IF($E162="","",$E162+$G162-$I162)</f>
        <v/>
      </c>
      <c r="K162" s="16" t="n"/>
      <c r="L162" s="20">
        <f>IF($A162="","",ROUNDUP(MONTH($A162)/3,0))</f>
        <v/>
      </c>
    </row>
    <row r="163">
      <c r="A163" s="33" t="n"/>
      <c r="B163" s="16" t="n"/>
      <c r="C163" s="16" t="n"/>
      <c r="D163" s="16" t="n"/>
      <c r="E163" s="34" t="n"/>
      <c r="F163" s="18" t="n"/>
      <c r="G163" s="35">
        <f>IF($E163="","",$E163*$F163/100)</f>
        <v/>
      </c>
      <c r="H163" s="18" t="n"/>
      <c r="I163" s="35">
        <f>IF($E163="","",$E163*$H163/100)</f>
        <v/>
      </c>
      <c r="J163" s="35">
        <f>IF($E163="","",$E163+$G163-$I163)</f>
        <v/>
      </c>
      <c r="K163" s="16" t="n"/>
      <c r="L163" s="20">
        <f>IF($A163="","",ROUNDUP(MONTH($A163)/3,0))</f>
        <v/>
      </c>
    </row>
    <row r="164">
      <c r="A164" s="33" t="n"/>
      <c r="B164" s="16" t="n"/>
      <c r="C164" s="16" t="n"/>
      <c r="D164" s="16" t="n"/>
      <c r="E164" s="34" t="n"/>
      <c r="F164" s="18" t="n"/>
      <c r="G164" s="35">
        <f>IF($E164="","",$E164*$F164/100)</f>
        <v/>
      </c>
      <c r="H164" s="18" t="n"/>
      <c r="I164" s="35">
        <f>IF($E164="","",$E164*$H164/100)</f>
        <v/>
      </c>
      <c r="J164" s="35">
        <f>IF($E164="","",$E164+$G164-$I164)</f>
        <v/>
      </c>
      <c r="K164" s="16" t="n"/>
      <c r="L164" s="20">
        <f>IF($A164="","",ROUNDUP(MONTH($A164)/3,0))</f>
        <v/>
      </c>
    </row>
    <row r="165">
      <c r="A165" s="33" t="n"/>
      <c r="B165" s="16" t="n"/>
      <c r="C165" s="16" t="n"/>
      <c r="D165" s="16" t="n"/>
      <c r="E165" s="34" t="n"/>
      <c r="F165" s="18" t="n"/>
      <c r="G165" s="35">
        <f>IF($E165="","",$E165*$F165/100)</f>
        <v/>
      </c>
      <c r="H165" s="18" t="n"/>
      <c r="I165" s="35">
        <f>IF($E165="","",$E165*$H165/100)</f>
        <v/>
      </c>
      <c r="J165" s="35">
        <f>IF($E165="","",$E165+$G165-$I165)</f>
        <v/>
      </c>
      <c r="K165" s="16" t="n"/>
      <c r="L165" s="20">
        <f>IF($A165="","",ROUNDUP(MONTH($A165)/3,0))</f>
        <v/>
      </c>
    </row>
    <row r="166">
      <c r="A166" s="33" t="n"/>
      <c r="B166" s="16" t="n"/>
      <c r="C166" s="16" t="n"/>
      <c r="D166" s="16" t="n"/>
      <c r="E166" s="34" t="n"/>
      <c r="F166" s="18" t="n"/>
      <c r="G166" s="35">
        <f>IF($E166="","",$E166*$F166/100)</f>
        <v/>
      </c>
      <c r="H166" s="18" t="n"/>
      <c r="I166" s="35">
        <f>IF($E166="","",$E166*$H166/100)</f>
        <v/>
      </c>
      <c r="J166" s="35">
        <f>IF($E166="","",$E166+$G166-$I166)</f>
        <v/>
      </c>
      <c r="K166" s="16" t="n"/>
      <c r="L166" s="20">
        <f>IF($A166="","",ROUNDUP(MONTH($A166)/3,0))</f>
        <v/>
      </c>
    </row>
    <row r="167">
      <c r="A167" s="33" t="n"/>
      <c r="B167" s="16" t="n"/>
      <c r="C167" s="16" t="n"/>
      <c r="D167" s="16" t="n"/>
      <c r="E167" s="34" t="n"/>
      <c r="F167" s="18" t="n"/>
      <c r="G167" s="35">
        <f>IF($E167="","",$E167*$F167/100)</f>
        <v/>
      </c>
      <c r="H167" s="18" t="n"/>
      <c r="I167" s="35">
        <f>IF($E167="","",$E167*$H167/100)</f>
        <v/>
      </c>
      <c r="J167" s="35">
        <f>IF($E167="","",$E167+$G167-$I167)</f>
        <v/>
      </c>
      <c r="K167" s="16" t="n"/>
      <c r="L167" s="20">
        <f>IF($A167="","",ROUNDUP(MONTH($A167)/3,0))</f>
        <v/>
      </c>
    </row>
    <row r="168">
      <c r="A168" s="33" t="n"/>
      <c r="B168" s="16" t="n"/>
      <c r="C168" s="16" t="n"/>
      <c r="D168" s="16" t="n"/>
      <c r="E168" s="34" t="n"/>
      <c r="F168" s="18" t="n"/>
      <c r="G168" s="35">
        <f>IF($E168="","",$E168*$F168/100)</f>
        <v/>
      </c>
      <c r="H168" s="18" t="n"/>
      <c r="I168" s="35">
        <f>IF($E168="","",$E168*$H168/100)</f>
        <v/>
      </c>
      <c r="J168" s="35">
        <f>IF($E168="","",$E168+$G168-$I168)</f>
        <v/>
      </c>
      <c r="K168" s="16" t="n"/>
      <c r="L168" s="20">
        <f>IF($A168="","",ROUNDUP(MONTH($A168)/3,0))</f>
        <v/>
      </c>
    </row>
    <row r="169">
      <c r="A169" s="33" t="n"/>
      <c r="B169" s="16" t="n"/>
      <c r="C169" s="16" t="n"/>
      <c r="D169" s="16" t="n"/>
      <c r="E169" s="34" t="n"/>
      <c r="F169" s="18" t="n"/>
      <c r="G169" s="35">
        <f>IF($E169="","",$E169*$F169/100)</f>
        <v/>
      </c>
      <c r="H169" s="18" t="n"/>
      <c r="I169" s="35">
        <f>IF($E169="","",$E169*$H169/100)</f>
        <v/>
      </c>
      <c r="J169" s="35">
        <f>IF($E169="","",$E169+$G169-$I169)</f>
        <v/>
      </c>
      <c r="K169" s="16" t="n"/>
      <c r="L169" s="20">
        <f>IF($A169="","",ROUNDUP(MONTH($A169)/3,0))</f>
        <v/>
      </c>
    </row>
    <row r="170">
      <c r="A170" s="33" t="n"/>
      <c r="B170" s="16" t="n"/>
      <c r="C170" s="16" t="n"/>
      <c r="D170" s="16" t="n"/>
      <c r="E170" s="34" t="n"/>
      <c r="F170" s="18" t="n"/>
      <c r="G170" s="35">
        <f>IF($E170="","",$E170*$F170/100)</f>
        <v/>
      </c>
      <c r="H170" s="18" t="n"/>
      <c r="I170" s="35">
        <f>IF($E170="","",$E170*$H170/100)</f>
        <v/>
      </c>
      <c r="J170" s="35">
        <f>IF($E170="","",$E170+$G170-$I170)</f>
        <v/>
      </c>
      <c r="K170" s="16" t="n"/>
      <c r="L170" s="20">
        <f>IF($A170="","",ROUNDUP(MONTH($A170)/3,0))</f>
        <v/>
      </c>
    </row>
    <row r="171">
      <c r="A171" s="33" t="n"/>
      <c r="B171" s="16" t="n"/>
      <c r="C171" s="16" t="n"/>
      <c r="D171" s="16" t="n"/>
      <c r="E171" s="34" t="n"/>
      <c r="F171" s="18" t="n"/>
      <c r="G171" s="35">
        <f>IF($E171="","",$E171*$F171/100)</f>
        <v/>
      </c>
      <c r="H171" s="18" t="n"/>
      <c r="I171" s="35">
        <f>IF($E171="","",$E171*$H171/100)</f>
        <v/>
      </c>
      <c r="J171" s="35">
        <f>IF($E171="","",$E171+$G171-$I171)</f>
        <v/>
      </c>
      <c r="K171" s="16" t="n"/>
      <c r="L171" s="20">
        <f>IF($A171="","",ROUNDUP(MONTH($A171)/3,0))</f>
        <v/>
      </c>
    </row>
    <row r="172">
      <c r="A172" s="33" t="n"/>
      <c r="B172" s="16" t="n"/>
      <c r="C172" s="16" t="n"/>
      <c r="D172" s="16" t="n"/>
      <c r="E172" s="34" t="n"/>
      <c r="F172" s="18" t="n"/>
      <c r="G172" s="35">
        <f>IF($E172="","",$E172*$F172/100)</f>
        <v/>
      </c>
      <c r="H172" s="18" t="n"/>
      <c r="I172" s="35">
        <f>IF($E172="","",$E172*$H172/100)</f>
        <v/>
      </c>
      <c r="J172" s="35">
        <f>IF($E172="","",$E172+$G172-$I172)</f>
        <v/>
      </c>
      <c r="K172" s="16" t="n"/>
      <c r="L172" s="20">
        <f>IF($A172="","",ROUNDUP(MONTH($A172)/3,0))</f>
        <v/>
      </c>
    </row>
    <row r="173">
      <c r="A173" s="33" t="n"/>
      <c r="B173" s="16" t="n"/>
      <c r="C173" s="16" t="n"/>
      <c r="D173" s="16" t="n"/>
      <c r="E173" s="34" t="n"/>
      <c r="F173" s="18" t="n"/>
      <c r="G173" s="35">
        <f>IF($E173="","",$E173*$F173/100)</f>
        <v/>
      </c>
      <c r="H173" s="18" t="n"/>
      <c r="I173" s="35">
        <f>IF($E173="","",$E173*$H173/100)</f>
        <v/>
      </c>
      <c r="J173" s="35">
        <f>IF($E173="","",$E173+$G173-$I173)</f>
        <v/>
      </c>
      <c r="K173" s="16" t="n"/>
      <c r="L173" s="20">
        <f>IF($A173="","",ROUNDUP(MONTH($A173)/3,0))</f>
        <v/>
      </c>
    </row>
    <row r="174">
      <c r="A174" s="33" t="n"/>
      <c r="B174" s="16" t="n"/>
      <c r="C174" s="16" t="n"/>
      <c r="D174" s="16" t="n"/>
      <c r="E174" s="34" t="n"/>
      <c r="F174" s="18" t="n"/>
      <c r="G174" s="35">
        <f>IF($E174="","",$E174*$F174/100)</f>
        <v/>
      </c>
      <c r="H174" s="18" t="n"/>
      <c r="I174" s="35">
        <f>IF($E174="","",$E174*$H174/100)</f>
        <v/>
      </c>
      <c r="J174" s="35">
        <f>IF($E174="","",$E174+$G174-$I174)</f>
        <v/>
      </c>
      <c r="K174" s="16" t="n"/>
      <c r="L174" s="20">
        <f>IF($A174="","",ROUNDUP(MONTH($A174)/3,0))</f>
        <v/>
      </c>
    </row>
    <row r="175">
      <c r="A175" s="33" t="n"/>
      <c r="B175" s="16" t="n"/>
      <c r="C175" s="16" t="n"/>
      <c r="D175" s="16" t="n"/>
      <c r="E175" s="34" t="n"/>
      <c r="F175" s="18" t="n"/>
      <c r="G175" s="35">
        <f>IF($E175="","",$E175*$F175/100)</f>
        <v/>
      </c>
      <c r="H175" s="18" t="n"/>
      <c r="I175" s="35">
        <f>IF($E175="","",$E175*$H175/100)</f>
        <v/>
      </c>
      <c r="J175" s="35">
        <f>IF($E175="","",$E175+$G175-$I175)</f>
        <v/>
      </c>
      <c r="K175" s="16" t="n"/>
      <c r="L175" s="20">
        <f>IF($A175="","",ROUNDUP(MONTH($A175)/3,0))</f>
        <v/>
      </c>
    </row>
    <row r="176">
      <c r="A176" s="33" t="n"/>
      <c r="B176" s="16" t="n"/>
      <c r="C176" s="16" t="n"/>
      <c r="D176" s="16" t="n"/>
      <c r="E176" s="34" t="n"/>
      <c r="F176" s="18" t="n"/>
      <c r="G176" s="35">
        <f>IF($E176="","",$E176*$F176/100)</f>
        <v/>
      </c>
      <c r="H176" s="18" t="n"/>
      <c r="I176" s="35">
        <f>IF($E176="","",$E176*$H176/100)</f>
        <v/>
      </c>
      <c r="J176" s="35">
        <f>IF($E176="","",$E176+$G176-$I176)</f>
        <v/>
      </c>
      <c r="K176" s="16" t="n"/>
      <c r="L176" s="20">
        <f>IF($A176="","",ROUNDUP(MONTH($A176)/3,0))</f>
        <v/>
      </c>
    </row>
    <row r="177">
      <c r="A177" s="33" t="n"/>
      <c r="B177" s="16" t="n"/>
      <c r="C177" s="16" t="n"/>
      <c r="D177" s="16" t="n"/>
      <c r="E177" s="34" t="n"/>
      <c r="F177" s="18" t="n"/>
      <c r="G177" s="35">
        <f>IF($E177="","",$E177*$F177/100)</f>
        <v/>
      </c>
      <c r="H177" s="18" t="n"/>
      <c r="I177" s="35">
        <f>IF($E177="","",$E177*$H177/100)</f>
        <v/>
      </c>
      <c r="J177" s="35">
        <f>IF($E177="","",$E177+$G177-$I177)</f>
        <v/>
      </c>
      <c r="K177" s="16" t="n"/>
      <c r="L177" s="20">
        <f>IF($A177="","",ROUNDUP(MONTH($A177)/3,0))</f>
        <v/>
      </c>
    </row>
    <row r="178">
      <c r="A178" s="33" t="n"/>
      <c r="B178" s="16" t="n"/>
      <c r="C178" s="16" t="n"/>
      <c r="D178" s="16" t="n"/>
      <c r="E178" s="34" t="n"/>
      <c r="F178" s="18" t="n"/>
      <c r="G178" s="35">
        <f>IF($E178="","",$E178*$F178/100)</f>
        <v/>
      </c>
      <c r="H178" s="18" t="n"/>
      <c r="I178" s="35">
        <f>IF($E178="","",$E178*$H178/100)</f>
        <v/>
      </c>
      <c r="J178" s="35">
        <f>IF($E178="","",$E178+$G178-$I178)</f>
        <v/>
      </c>
      <c r="K178" s="16" t="n"/>
      <c r="L178" s="20">
        <f>IF($A178="","",ROUNDUP(MONTH($A178)/3,0))</f>
        <v/>
      </c>
    </row>
    <row r="179">
      <c r="A179" s="33" t="n"/>
      <c r="B179" s="16" t="n"/>
      <c r="C179" s="16" t="n"/>
      <c r="D179" s="16" t="n"/>
      <c r="E179" s="34" t="n"/>
      <c r="F179" s="18" t="n"/>
      <c r="G179" s="35">
        <f>IF($E179="","",$E179*$F179/100)</f>
        <v/>
      </c>
      <c r="H179" s="18" t="n"/>
      <c r="I179" s="35">
        <f>IF($E179="","",$E179*$H179/100)</f>
        <v/>
      </c>
      <c r="J179" s="35">
        <f>IF($E179="","",$E179+$G179-$I179)</f>
        <v/>
      </c>
      <c r="K179" s="16" t="n"/>
      <c r="L179" s="20">
        <f>IF($A179="","",ROUNDUP(MONTH($A179)/3,0))</f>
        <v/>
      </c>
    </row>
    <row r="180">
      <c r="A180" s="33" t="n"/>
      <c r="B180" s="16" t="n"/>
      <c r="C180" s="16" t="n"/>
      <c r="D180" s="16" t="n"/>
      <c r="E180" s="34" t="n"/>
      <c r="F180" s="18" t="n"/>
      <c r="G180" s="35">
        <f>IF($E180="","",$E180*$F180/100)</f>
        <v/>
      </c>
      <c r="H180" s="18" t="n"/>
      <c r="I180" s="35">
        <f>IF($E180="","",$E180*$H180/100)</f>
        <v/>
      </c>
      <c r="J180" s="35">
        <f>IF($E180="","",$E180+$G180-$I180)</f>
        <v/>
      </c>
      <c r="K180" s="16" t="n"/>
      <c r="L180" s="20">
        <f>IF($A180="","",ROUNDUP(MONTH($A180)/3,0))</f>
        <v/>
      </c>
    </row>
    <row r="181">
      <c r="A181" s="33" t="n"/>
      <c r="B181" s="16" t="n"/>
      <c r="C181" s="16" t="n"/>
      <c r="D181" s="16" t="n"/>
      <c r="E181" s="34" t="n"/>
      <c r="F181" s="18" t="n"/>
      <c r="G181" s="35">
        <f>IF($E181="","",$E181*$F181/100)</f>
        <v/>
      </c>
      <c r="H181" s="18" t="n"/>
      <c r="I181" s="35">
        <f>IF($E181="","",$E181*$H181/100)</f>
        <v/>
      </c>
      <c r="J181" s="35">
        <f>IF($E181="","",$E181+$G181-$I181)</f>
        <v/>
      </c>
      <c r="K181" s="16" t="n"/>
      <c r="L181" s="20">
        <f>IF($A181="","",ROUNDUP(MONTH($A181)/3,0))</f>
        <v/>
      </c>
    </row>
    <row r="182">
      <c r="A182" s="33" t="n"/>
      <c r="B182" s="16" t="n"/>
      <c r="C182" s="16" t="n"/>
      <c r="D182" s="16" t="n"/>
      <c r="E182" s="34" t="n"/>
      <c r="F182" s="18" t="n"/>
      <c r="G182" s="35">
        <f>IF($E182="","",$E182*$F182/100)</f>
        <v/>
      </c>
      <c r="H182" s="18" t="n"/>
      <c r="I182" s="35">
        <f>IF($E182="","",$E182*$H182/100)</f>
        <v/>
      </c>
      <c r="J182" s="35">
        <f>IF($E182="","",$E182+$G182-$I182)</f>
        <v/>
      </c>
      <c r="K182" s="16" t="n"/>
      <c r="L182" s="20">
        <f>IF($A182="","",ROUNDUP(MONTH($A182)/3,0))</f>
        <v/>
      </c>
    </row>
    <row r="183">
      <c r="A183" s="33" t="n"/>
      <c r="B183" s="16" t="n"/>
      <c r="C183" s="16" t="n"/>
      <c r="D183" s="16" t="n"/>
      <c r="E183" s="34" t="n"/>
      <c r="F183" s="18" t="n"/>
      <c r="G183" s="35">
        <f>IF($E183="","",$E183*$F183/100)</f>
        <v/>
      </c>
      <c r="H183" s="18" t="n"/>
      <c r="I183" s="35">
        <f>IF($E183="","",$E183*$H183/100)</f>
        <v/>
      </c>
      <c r="J183" s="35">
        <f>IF($E183="","",$E183+$G183-$I183)</f>
        <v/>
      </c>
      <c r="K183" s="16" t="n"/>
      <c r="L183" s="20">
        <f>IF($A183="","",ROUNDUP(MONTH($A183)/3,0))</f>
        <v/>
      </c>
    </row>
    <row r="184">
      <c r="A184" s="33" t="n"/>
      <c r="B184" s="16" t="n"/>
      <c r="C184" s="16" t="n"/>
      <c r="D184" s="16" t="n"/>
      <c r="E184" s="34" t="n"/>
      <c r="F184" s="18" t="n"/>
      <c r="G184" s="35">
        <f>IF($E184="","",$E184*$F184/100)</f>
        <v/>
      </c>
      <c r="H184" s="18" t="n"/>
      <c r="I184" s="35">
        <f>IF($E184="","",$E184*$H184/100)</f>
        <v/>
      </c>
      <c r="J184" s="35">
        <f>IF($E184="","",$E184+$G184-$I184)</f>
        <v/>
      </c>
      <c r="K184" s="16" t="n"/>
      <c r="L184" s="20">
        <f>IF($A184="","",ROUNDUP(MONTH($A184)/3,0))</f>
        <v/>
      </c>
    </row>
    <row r="185">
      <c r="A185" s="33" t="n"/>
      <c r="B185" s="16" t="n"/>
      <c r="C185" s="16" t="n"/>
      <c r="D185" s="16" t="n"/>
      <c r="E185" s="34" t="n"/>
      <c r="F185" s="18" t="n"/>
      <c r="G185" s="35">
        <f>IF($E185="","",$E185*$F185/100)</f>
        <v/>
      </c>
      <c r="H185" s="18" t="n"/>
      <c r="I185" s="35">
        <f>IF($E185="","",$E185*$H185/100)</f>
        <v/>
      </c>
      <c r="J185" s="35">
        <f>IF($E185="","",$E185+$G185-$I185)</f>
        <v/>
      </c>
      <c r="K185" s="16" t="n"/>
      <c r="L185" s="20">
        <f>IF($A185="","",ROUNDUP(MONTH($A185)/3,0))</f>
        <v/>
      </c>
    </row>
    <row r="186">
      <c r="A186" s="33" t="n"/>
      <c r="B186" s="16" t="n"/>
      <c r="C186" s="16" t="n"/>
      <c r="D186" s="16" t="n"/>
      <c r="E186" s="34" t="n"/>
      <c r="F186" s="18" t="n"/>
      <c r="G186" s="35">
        <f>IF($E186="","",$E186*$F186/100)</f>
        <v/>
      </c>
      <c r="H186" s="18" t="n"/>
      <c r="I186" s="35">
        <f>IF($E186="","",$E186*$H186/100)</f>
        <v/>
      </c>
      <c r="J186" s="35">
        <f>IF($E186="","",$E186+$G186-$I186)</f>
        <v/>
      </c>
      <c r="K186" s="16" t="n"/>
      <c r="L186" s="20">
        <f>IF($A186="","",ROUNDUP(MONTH($A186)/3,0))</f>
        <v/>
      </c>
    </row>
    <row r="187">
      <c r="A187" s="33" t="n"/>
      <c r="B187" s="16" t="n"/>
      <c r="C187" s="16" t="n"/>
      <c r="D187" s="16" t="n"/>
      <c r="E187" s="34" t="n"/>
      <c r="F187" s="18" t="n"/>
      <c r="G187" s="35">
        <f>IF($E187="","",$E187*$F187/100)</f>
        <v/>
      </c>
      <c r="H187" s="18" t="n"/>
      <c r="I187" s="35">
        <f>IF($E187="","",$E187*$H187/100)</f>
        <v/>
      </c>
      <c r="J187" s="35">
        <f>IF($E187="","",$E187+$G187-$I187)</f>
        <v/>
      </c>
      <c r="K187" s="16" t="n"/>
      <c r="L187" s="20">
        <f>IF($A187="","",ROUNDUP(MONTH($A187)/3,0))</f>
        <v/>
      </c>
    </row>
    <row r="188">
      <c r="A188" s="33" t="n"/>
      <c r="B188" s="16" t="n"/>
      <c r="C188" s="16" t="n"/>
      <c r="D188" s="16" t="n"/>
      <c r="E188" s="34" t="n"/>
      <c r="F188" s="18" t="n"/>
      <c r="G188" s="35">
        <f>IF($E188="","",$E188*$F188/100)</f>
        <v/>
      </c>
      <c r="H188" s="18" t="n"/>
      <c r="I188" s="35">
        <f>IF($E188="","",$E188*$H188/100)</f>
        <v/>
      </c>
      <c r="J188" s="35">
        <f>IF($E188="","",$E188+$G188-$I188)</f>
        <v/>
      </c>
      <c r="K188" s="16" t="n"/>
      <c r="L188" s="20">
        <f>IF($A188="","",ROUNDUP(MONTH($A188)/3,0))</f>
        <v/>
      </c>
    </row>
    <row r="189">
      <c r="A189" s="33" t="n"/>
      <c r="B189" s="16" t="n"/>
      <c r="C189" s="16" t="n"/>
      <c r="D189" s="16" t="n"/>
      <c r="E189" s="34" t="n"/>
      <c r="F189" s="18" t="n"/>
      <c r="G189" s="35">
        <f>IF($E189="","",$E189*$F189/100)</f>
        <v/>
      </c>
      <c r="H189" s="18" t="n"/>
      <c r="I189" s="35">
        <f>IF($E189="","",$E189*$H189/100)</f>
        <v/>
      </c>
      <c r="J189" s="35">
        <f>IF($E189="","",$E189+$G189-$I189)</f>
        <v/>
      </c>
      <c r="K189" s="16" t="n"/>
      <c r="L189" s="20">
        <f>IF($A189="","",ROUNDUP(MONTH($A189)/3,0))</f>
        <v/>
      </c>
    </row>
    <row r="190">
      <c r="A190" s="33" t="n"/>
      <c r="B190" s="16" t="n"/>
      <c r="C190" s="16" t="n"/>
      <c r="D190" s="16" t="n"/>
      <c r="E190" s="34" t="n"/>
      <c r="F190" s="18" t="n"/>
      <c r="G190" s="35">
        <f>IF($E190="","",$E190*$F190/100)</f>
        <v/>
      </c>
      <c r="H190" s="18" t="n"/>
      <c r="I190" s="35">
        <f>IF($E190="","",$E190*$H190/100)</f>
        <v/>
      </c>
      <c r="J190" s="35">
        <f>IF($E190="","",$E190+$G190-$I190)</f>
        <v/>
      </c>
      <c r="K190" s="16" t="n"/>
      <c r="L190" s="20">
        <f>IF($A190="","",ROUNDUP(MONTH($A190)/3,0))</f>
        <v/>
      </c>
    </row>
    <row r="191">
      <c r="A191" s="33" t="n"/>
      <c r="B191" s="16" t="n"/>
      <c r="C191" s="16" t="n"/>
      <c r="D191" s="16" t="n"/>
      <c r="E191" s="34" t="n"/>
      <c r="F191" s="18" t="n"/>
      <c r="G191" s="35">
        <f>IF($E191="","",$E191*$F191/100)</f>
        <v/>
      </c>
      <c r="H191" s="18" t="n"/>
      <c r="I191" s="35">
        <f>IF($E191="","",$E191*$H191/100)</f>
        <v/>
      </c>
      <c r="J191" s="35">
        <f>IF($E191="","",$E191+$G191-$I191)</f>
        <v/>
      </c>
      <c r="K191" s="16" t="n"/>
      <c r="L191" s="20">
        <f>IF($A191="","",ROUNDUP(MONTH($A191)/3,0))</f>
        <v/>
      </c>
    </row>
    <row r="192">
      <c r="A192" s="33" t="n"/>
      <c r="B192" s="16" t="n"/>
      <c r="C192" s="16" t="n"/>
      <c r="D192" s="16" t="n"/>
      <c r="E192" s="34" t="n"/>
      <c r="F192" s="18" t="n"/>
      <c r="G192" s="35">
        <f>IF($E192="","",$E192*$F192/100)</f>
        <v/>
      </c>
      <c r="H192" s="18" t="n"/>
      <c r="I192" s="35">
        <f>IF($E192="","",$E192*$H192/100)</f>
        <v/>
      </c>
      <c r="J192" s="35">
        <f>IF($E192="","",$E192+$G192-$I192)</f>
        <v/>
      </c>
      <c r="K192" s="16" t="n"/>
      <c r="L192" s="20">
        <f>IF($A192="","",ROUNDUP(MONTH($A192)/3,0))</f>
        <v/>
      </c>
    </row>
    <row r="193">
      <c r="A193" s="33" t="n"/>
      <c r="B193" s="16" t="n"/>
      <c r="C193" s="16" t="n"/>
      <c r="D193" s="16" t="n"/>
      <c r="E193" s="34" t="n"/>
      <c r="F193" s="18" t="n"/>
      <c r="G193" s="35">
        <f>IF($E193="","",$E193*$F193/100)</f>
        <v/>
      </c>
      <c r="H193" s="18" t="n"/>
      <c r="I193" s="35">
        <f>IF($E193="","",$E193*$H193/100)</f>
        <v/>
      </c>
      <c r="J193" s="35">
        <f>IF($E193="","",$E193+$G193-$I193)</f>
        <v/>
      </c>
      <c r="K193" s="16" t="n"/>
      <c r="L193" s="20">
        <f>IF($A193="","",ROUNDUP(MONTH($A193)/3,0))</f>
        <v/>
      </c>
    </row>
    <row r="194">
      <c r="A194" s="33" t="n"/>
      <c r="B194" s="16" t="n"/>
      <c r="C194" s="16" t="n"/>
      <c r="D194" s="16" t="n"/>
      <c r="E194" s="34" t="n"/>
      <c r="F194" s="18" t="n"/>
      <c r="G194" s="35">
        <f>IF($E194="","",$E194*$F194/100)</f>
        <v/>
      </c>
      <c r="H194" s="18" t="n"/>
      <c r="I194" s="35">
        <f>IF($E194="","",$E194*$H194/100)</f>
        <v/>
      </c>
      <c r="J194" s="35">
        <f>IF($E194="","",$E194+$G194-$I194)</f>
        <v/>
      </c>
      <c r="K194" s="16" t="n"/>
      <c r="L194" s="20">
        <f>IF($A194="","",ROUNDUP(MONTH($A194)/3,0))</f>
        <v/>
      </c>
    </row>
    <row r="195">
      <c r="A195" s="33" t="n"/>
      <c r="B195" s="16" t="n"/>
      <c r="C195" s="16" t="n"/>
      <c r="D195" s="16" t="n"/>
      <c r="E195" s="34" t="n"/>
      <c r="F195" s="18" t="n"/>
      <c r="G195" s="35">
        <f>IF($E195="","",$E195*$F195/100)</f>
        <v/>
      </c>
      <c r="H195" s="18" t="n"/>
      <c r="I195" s="35">
        <f>IF($E195="","",$E195*$H195/100)</f>
        <v/>
      </c>
      <c r="J195" s="35">
        <f>IF($E195="","",$E195+$G195-$I195)</f>
        <v/>
      </c>
      <c r="K195" s="16" t="n"/>
      <c r="L195" s="20">
        <f>IF($A195="","",ROUNDUP(MONTH($A195)/3,0))</f>
        <v/>
      </c>
    </row>
    <row r="196">
      <c r="A196" s="33" t="n"/>
      <c r="B196" s="16" t="n"/>
      <c r="C196" s="16" t="n"/>
      <c r="D196" s="16" t="n"/>
      <c r="E196" s="34" t="n"/>
      <c r="F196" s="18" t="n"/>
      <c r="G196" s="35">
        <f>IF($E196="","",$E196*$F196/100)</f>
        <v/>
      </c>
      <c r="H196" s="18" t="n"/>
      <c r="I196" s="35">
        <f>IF($E196="","",$E196*$H196/100)</f>
        <v/>
      </c>
      <c r="J196" s="35">
        <f>IF($E196="","",$E196+$G196-$I196)</f>
        <v/>
      </c>
      <c r="K196" s="16" t="n"/>
      <c r="L196" s="20">
        <f>IF($A196="","",ROUNDUP(MONTH($A196)/3,0))</f>
        <v/>
      </c>
    </row>
    <row r="197">
      <c r="A197" s="33" t="n"/>
      <c r="B197" s="16" t="n"/>
      <c r="C197" s="16" t="n"/>
      <c r="D197" s="16" t="n"/>
      <c r="E197" s="34" t="n"/>
      <c r="F197" s="18" t="n"/>
      <c r="G197" s="35">
        <f>IF($E197="","",$E197*$F197/100)</f>
        <v/>
      </c>
      <c r="H197" s="18" t="n"/>
      <c r="I197" s="35">
        <f>IF($E197="","",$E197*$H197/100)</f>
        <v/>
      </c>
      <c r="J197" s="35">
        <f>IF($E197="","",$E197+$G197-$I197)</f>
        <v/>
      </c>
      <c r="K197" s="16" t="n"/>
      <c r="L197" s="20">
        <f>IF($A197="","",ROUNDUP(MONTH($A197)/3,0))</f>
        <v/>
      </c>
    </row>
    <row r="198">
      <c r="A198" s="33" t="n"/>
      <c r="B198" s="16" t="n"/>
      <c r="C198" s="16" t="n"/>
      <c r="D198" s="16" t="n"/>
      <c r="E198" s="34" t="n"/>
      <c r="F198" s="18" t="n"/>
      <c r="G198" s="35">
        <f>IF($E198="","",$E198*$F198/100)</f>
        <v/>
      </c>
      <c r="H198" s="18" t="n"/>
      <c r="I198" s="35">
        <f>IF($E198="","",$E198*$H198/100)</f>
        <v/>
      </c>
      <c r="J198" s="35">
        <f>IF($E198="","",$E198+$G198-$I198)</f>
        <v/>
      </c>
      <c r="K198" s="16" t="n"/>
      <c r="L198" s="20">
        <f>IF($A198="","",ROUNDUP(MONTH($A198)/3,0))</f>
        <v/>
      </c>
    </row>
    <row r="199">
      <c r="A199" s="33" t="n"/>
      <c r="B199" s="16" t="n"/>
      <c r="C199" s="16" t="n"/>
      <c r="D199" s="16" t="n"/>
      <c r="E199" s="34" t="n"/>
      <c r="F199" s="18" t="n"/>
      <c r="G199" s="35">
        <f>IF($E199="","",$E199*$F199/100)</f>
        <v/>
      </c>
      <c r="H199" s="18" t="n"/>
      <c r="I199" s="35">
        <f>IF($E199="","",$E199*$H199/100)</f>
        <v/>
      </c>
      <c r="J199" s="35">
        <f>IF($E199="","",$E199+$G199-$I199)</f>
        <v/>
      </c>
      <c r="K199" s="16" t="n"/>
      <c r="L199" s="20">
        <f>IF($A199="","",ROUNDUP(MONTH($A199)/3,0))</f>
        <v/>
      </c>
    </row>
    <row r="200">
      <c r="A200" s="33" t="n"/>
      <c r="B200" s="16" t="n"/>
      <c r="C200" s="16" t="n"/>
      <c r="D200" s="16" t="n"/>
      <c r="E200" s="34" t="n"/>
      <c r="F200" s="18" t="n"/>
      <c r="G200" s="35">
        <f>IF($E200="","",$E200*$F200/100)</f>
        <v/>
      </c>
      <c r="H200" s="18" t="n"/>
      <c r="I200" s="35">
        <f>IF($E200="","",$E200*$H200/100)</f>
        <v/>
      </c>
      <c r="J200" s="35">
        <f>IF($E200="","",$E200+$G200-$I200)</f>
        <v/>
      </c>
      <c r="K200" s="16" t="n"/>
      <c r="L200" s="20">
        <f>IF($A200="","",ROUNDUP(MONTH($A200)/3,0))</f>
        <v/>
      </c>
    </row>
    <row r="201">
      <c r="A201" s="33" t="n"/>
      <c r="B201" s="16" t="n"/>
      <c r="C201" s="16" t="n"/>
      <c r="D201" s="16" t="n"/>
      <c r="E201" s="34" t="n"/>
      <c r="F201" s="18" t="n"/>
      <c r="G201" s="35">
        <f>IF($E201="","",$E201*$F201/100)</f>
        <v/>
      </c>
      <c r="H201" s="18" t="n"/>
      <c r="I201" s="35">
        <f>IF($E201="","",$E201*$H201/100)</f>
        <v/>
      </c>
      <c r="J201" s="35">
        <f>IF($E201="","",$E201+$G201-$I201)</f>
        <v/>
      </c>
      <c r="K201" s="16" t="n"/>
      <c r="L201" s="20">
        <f>IF($A201="","",ROUNDUP(MONTH($A201)/3,0))</f>
        <v/>
      </c>
    </row>
    <row r="202">
      <c r="A202" s="33" t="n"/>
      <c r="B202" s="16" t="n"/>
      <c r="C202" s="16" t="n"/>
      <c r="D202" s="16" t="n"/>
      <c r="E202" s="34" t="n"/>
      <c r="F202" s="18" t="n"/>
      <c r="G202" s="35">
        <f>IF($E202="","",$E202*$F202/100)</f>
        <v/>
      </c>
      <c r="H202" s="18" t="n"/>
      <c r="I202" s="35">
        <f>IF($E202="","",$E202*$H202/100)</f>
        <v/>
      </c>
      <c r="J202" s="35">
        <f>IF($E202="","",$E202+$G202-$I202)</f>
        <v/>
      </c>
      <c r="K202" s="16" t="n"/>
      <c r="L202" s="20">
        <f>IF($A202="","",ROUNDUP(MONTH($A202)/3,0))</f>
        <v/>
      </c>
    </row>
    <row r="203">
      <c r="A203" s="33" t="n"/>
      <c r="B203" s="16" t="n"/>
      <c r="C203" s="16" t="n"/>
      <c r="D203" s="16" t="n"/>
      <c r="E203" s="34" t="n"/>
      <c r="F203" s="18" t="n"/>
      <c r="G203" s="35">
        <f>IF($E203="","",$E203*$F203/100)</f>
        <v/>
      </c>
      <c r="H203" s="18" t="n"/>
      <c r="I203" s="35">
        <f>IF($E203="","",$E203*$H203/100)</f>
        <v/>
      </c>
      <c r="J203" s="35">
        <f>IF($E203="","",$E203+$G203-$I203)</f>
        <v/>
      </c>
      <c r="K203" s="16" t="n"/>
      <c r="L203" s="20">
        <f>IF($A203="","",ROUNDUP(MONTH($A203)/3,0))</f>
        <v/>
      </c>
    </row>
    <row r="204">
      <c r="A204" s="33" t="n"/>
      <c r="B204" s="16" t="n"/>
      <c r="C204" s="16" t="n"/>
      <c r="D204" s="16" t="n"/>
      <c r="E204" s="34" t="n"/>
      <c r="F204" s="18" t="n"/>
      <c r="G204" s="35">
        <f>IF($E204="","",$E204*$F204/100)</f>
        <v/>
      </c>
      <c r="H204" s="18" t="n"/>
      <c r="I204" s="35">
        <f>IF($E204="","",$E204*$H204/100)</f>
        <v/>
      </c>
      <c r="J204" s="35">
        <f>IF($E204="","",$E204+$G204-$I204)</f>
        <v/>
      </c>
      <c r="K204" s="16" t="n"/>
      <c r="L204" s="20">
        <f>IF($A204="","",ROUNDUP(MONTH($A204)/3,0))</f>
        <v/>
      </c>
    </row>
    <row r="205">
      <c r="A205" s="33" t="n"/>
      <c r="B205" s="16" t="n"/>
      <c r="C205" s="16" t="n"/>
      <c r="D205" s="16" t="n"/>
      <c r="E205" s="34" t="n"/>
      <c r="F205" s="18" t="n"/>
      <c r="G205" s="35">
        <f>IF($E205="","",$E205*$F205/100)</f>
        <v/>
      </c>
      <c r="H205" s="18" t="n"/>
      <c r="I205" s="35">
        <f>IF($E205="","",$E205*$H205/100)</f>
        <v/>
      </c>
      <c r="J205" s="35">
        <f>IF($E205="","",$E205+$G205-$I205)</f>
        <v/>
      </c>
      <c r="K205" s="16" t="n"/>
      <c r="L205" s="20">
        <f>IF($A205="","",ROUNDUP(MONTH($A205)/3,0))</f>
        <v/>
      </c>
    </row>
    <row r="206">
      <c r="A206" s="33" t="n"/>
      <c r="B206" s="16" t="n"/>
      <c r="C206" s="16" t="n"/>
      <c r="D206" s="16" t="n"/>
      <c r="E206" s="34" t="n"/>
      <c r="F206" s="18" t="n"/>
      <c r="G206" s="35">
        <f>IF($E206="","",$E206*$F206/100)</f>
        <v/>
      </c>
      <c r="H206" s="18" t="n"/>
      <c r="I206" s="35">
        <f>IF($E206="","",$E206*$H206/100)</f>
        <v/>
      </c>
      <c r="J206" s="35">
        <f>IF($E206="","",$E206+$G206-$I206)</f>
        <v/>
      </c>
      <c r="K206" s="16" t="n"/>
      <c r="L206" s="20">
        <f>IF($A206="","",ROUNDUP(MONTH($A206)/3,0))</f>
        <v/>
      </c>
    </row>
    <row r="207">
      <c r="A207" s="33" t="n"/>
      <c r="B207" s="16" t="n"/>
      <c r="C207" s="16" t="n"/>
      <c r="D207" s="16" t="n"/>
      <c r="E207" s="34" t="n"/>
      <c r="F207" s="18" t="n"/>
      <c r="G207" s="35">
        <f>IF($E207="","",$E207*$F207/100)</f>
        <v/>
      </c>
      <c r="H207" s="18" t="n"/>
      <c r="I207" s="35">
        <f>IF($E207="","",$E207*$H207/100)</f>
        <v/>
      </c>
      <c r="J207" s="35">
        <f>IF($E207="","",$E207+$G207-$I207)</f>
        <v/>
      </c>
      <c r="K207" s="16" t="n"/>
      <c r="L207" s="20">
        <f>IF($A207="","",ROUNDUP(MONTH($A207)/3,0))</f>
        <v/>
      </c>
    </row>
    <row r="208">
      <c r="A208" s="33" t="n"/>
      <c r="B208" s="16" t="n"/>
      <c r="C208" s="16" t="n"/>
      <c r="D208" s="16" t="n"/>
      <c r="E208" s="34" t="n"/>
      <c r="F208" s="18" t="n"/>
      <c r="G208" s="35">
        <f>IF($E208="","",$E208*$F208/100)</f>
        <v/>
      </c>
      <c r="H208" s="18" t="n"/>
      <c r="I208" s="35">
        <f>IF($E208="","",$E208*$H208/100)</f>
        <v/>
      </c>
      <c r="J208" s="35">
        <f>IF($E208="","",$E208+$G208-$I208)</f>
        <v/>
      </c>
      <c r="K208" s="16" t="n"/>
      <c r="L208" s="20">
        <f>IF($A208="","",ROUNDUP(MONTH($A208)/3,0))</f>
        <v/>
      </c>
    </row>
    <row r="209">
      <c r="A209" s="33" t="n"/>
      <c r="B209" s="16" t="n"/>
      <c r="C209" s="16" t="n"/>
      <c r="D209" s="16" t="n"/>
      <c r="E209" s="34" t="n"/>
      <c r="F209" s="18" t="n"/>
      <c r="G209" s="35">
        <f>IF($E209="","",$E209*$F209/100)</f>
        <v/>
      </c>
      <c r="H209" s="18" t="n"/>
      <c r="I209" s="35">
        <f>IF($E209="","",$E209*$H209/100)</f>
        <v/>
      </c>
      <c r="J209" s="35">
        <f>IF($E209="","",$E209+$G209-$I209)</f>
        <v/>
      </c>
      <c r="K209" s="16" t="n"/>
      <c r="L209" s="20">
        <f>IF($A209="","",ROUNDUP(MONTH($A209)/3,0))</f>
        <v/>
      </c>
    </row>
    <row r="210">
      <c r="A210" s="33" t="n"/>
      <c r="B210" s="16" t="n"/>
      <c r="C210" s="16" t="n"/>
      <c r="D210" s="16" t="n"/>
      <c r="E210" s="34" t="n"/>
      <c r="F210" s="18" t="n"/>
      <c r="G210" s="35">
        <f>IF($E210="","",$E210*$F210/100)</f>
        <v/>
      </c>
      <c r="H210" s="18" t="n"/>
      <c r="I210" s="35">
        <f>IF($E210="","",$E210*$H210/100)</f>
        <v/>
      </c>
      <c r="J210" s="35">
        <f>IF($E210="","",$E210+$G210-$I210)</f>
        <v/>
      </c>
      <c r="K210" s="16" t="n"/>
      <c r="L210" s="20">
        <f>IF($A210="","",ROUNDUP(MONTH($A210)/3,0))</f>
        <v/>
      </c>
    </row>
    <row r="211">
      <c r="A211" s="33" t="n"/>
      <c r="B211" s="16" t="n"/>
      <c r="C211" s="16" t="n"/>
      <c r="D211" s="16" t="n"/>
      <c r="E211" s="34" t="n"/>
      <c r="F211" s="18" t="n"/>
      <c r="G211" s="35">
        <f>IF($E211="","",$E211*$F211/100)</f>
        <v/>
      </c>
      <c r="H211" s="18" t="n"/>
      <c r="I211" s="35">
        <f>IF($E211="","",$E211*$H211/100)</f>
        <v/>
      </c>
      <c r="J211" s="35">
        <f>IF($E211="","",$E211+$G211-$I211)</f>
        <v/>
      </c>
      <c r="K211" s="16" t="n"/>
      <c r="L211" s="20">
        <f>IF($A211="","",ROUNDUP(MONTH($A211)/3,0))</f>
        <v/>
      </c>
    </row>
    <row r="212">
      <c r="A212" s="33" t="n"/>
      <c r="B212" s="16" t="n"/>
      <c r="C212" s="16" t="n"/>
      <c r="D212" s="16" t="n"/>
      <c r="E212" s="34" t="n"/>
      <c r="F212" s="18" t="n"/>
      <c r="G212" s="35">
        <f>IF($E212="","",$E212*$F212/100)</f>
        <v/>
      </c>
      <c r="H212" s="18" t="n"/>
      <c r="I212" s="35">
        <f>IF($E212="","",$E212*$H212/100)</f>
        <v/>
      </c>
      <c r="J212" s="35">
        <f>IF($E212="","",$E212+$G212-$I212)</f>
        <v/>
      </c>
      <c r="K212" s="16" t="n"/>
      <c r="L212" s="20">
        <f>IF($A212="","",ROUNDUP(MONTH($A212)/3,0))</f>
        <v/>
      </c>
    </row>
    <row r="213">
      <c r="A213" s="33" t="n"/>
      <c r="B213" s="16" t="n"/>
      <c r="C213" s="16" t="n"/>
      <c r="D213" s="16" t="n"/>
      <c r="E213" s="34" t="n"/>
      <c r="F213" s="18" t="n"/>
      <c r="G213" s="35">
        <f>IF($E213="","",$E213*$F213/100)</f>
        <v/>
      </c>
      <c r="H213" s="18" t="n"/>
      <c r="I213" s="35">
        <f>IF($E213="","",$E213*$H213/100)</f>
        <v/>
      </c>
      <c r="J213" s="35">
        <f>IF($E213="","",$E213+$G213-$I213)</f>
        <v/>
      </c>
      <c r="K213" s="16" t="n"/>
      <c r="L213" s="20">
        <f>IF($A213="","",ROUNDUP(MONTH($A213)/3,0))</f>
        <v/>
      </c>
    </row>
    <row r="214">
      <c r="A214" s="33" t="n"/>
      <c r="B214" s="16" t="n"/>
      <c r="C214" s="16" t="n"/>
      <c r="D214" s="16" t="n"/>
      <c r="E214" s="34" t="n"/>
      <c r="F214" s="18" t="n"/>
      <c r="G214" s="35">
        <f>IF($E214="","",$E214*$F214/100)</f>
        <v/>
      </c>
      <c r="H214" s="18" t="n"/>
      <c r="I214" s="35">
        <f>IF($E214="","",$E214*$H214/100)</f>
        <v/>
      </c>
      <c r="J214" s="35">
        <f>IF($E214="","",$E214+$G214-$I214)</f>
        <v/>
      </c>
      <c r="K214" s="16" t="n"/>
      <c r="L214" s="20">
        <f>IF($A214="","",ROUNDUP(MONTH($A214)/3,0))</f>
        <v/>
      </c>
    </row>
    <row r="215">
      <c r="A215" s="33" t="n"/>
      <c r="B215" s="16" t="n"/>
      <c r="C215" s="16" t="n"/>
      <c r="D215" s="16" t="n"/>
      <c r="E215" s="34" t="n"/>
      <c r="F215" s="18" t="n"/>
      <c r="G215" s="35">
        <f>IF($E215="","",$E215*$F215/100)</f>
        <v/>
      </c>
      <c r="H215" s="18" t="n"/>
      <c r="I215" s="35">
        <f>IF($E215="","",$E215*$H215/100)</f>
        <v/>
      </c>
      <c r="J215" s="35">
        <f>IF($E215="","",$E215+$G215-$I215)</f>
        <v/>
      </c>
      <c r="K215" s="16" t="n"/>
      <c r="L215" s="20">
        <f>IF($A215="","",ROUNDUP(MONTH($A215)/3,0))</f>
        <v/>
      </c>
    </row>
    <row r="216">
      <c r="A216" s="33" t="n"/>
      <c r="B216" s="16" t="n"/>
      <c r="C216" s="16" t="n"/>
      <c r="D216" s="16" t="n"/>
      <c r="E216" s="34" t="n"/>
      <c r="F216" s="18" t="n"/>
      <c r="G216" s="35">
        <f>IF($E216="","",$E216*$F216/100)</f>
        <v/>
      </c>
      <c r="H216" s="18" t="n"/>
      <c r="I216" s="35">
        <f>IF($E216="","",$E216*$H216/100)</f>
        <v/>
      </c>
      <c r="J216" s="35">
        <f>IF($E216="","",$E216+$G216-$I216)</f>
        <v/>
      </c>
      <c r="K216" s="16" t="n"/>
      <c r="L216" s="20">
        <f>IF($A216="","",ROUNDUP(MONTH($A216)/3,0))</f>
        <v/>
      </c>
    </row>
    <row r="217">
      <c r="A217" s="33" t="n"/>
      <c r="B217" s="16" t="n"/>
      <c r="C217" s="16" t="n"/>
      <c r="D217" s="16" t="n"/>
      <c r="E217" s="34" t="n"/>
      <c r="F217" s="18" t="n"/>
      <c r="G217" s="35">
        <f>IF($E217="","",$E217*$F217/100)</f>
        <v/>
      </c>
      <c r="H217" s="18" t="n"/>
      <c r="I217" s="35">
        <f>IF($E217="","",$E217*$H217/100)</f>
        <v/>
      </c>
      <c r="J217" s="35">
        <f>IF($E217="","",$E217+$G217-$I217)</f>
        <v/>
      </c>
      <c r="K217" s="16" t="n"/>
      <c r="L217" s="20">
        <f>IF($A217="","",ROUNDUP(MONTH($A217)/3,0))</f>
        <v/>
      </c>
    </row>
    <row r="218">
      <c r="A218" s="33" t="n"/>
      <c r="B218" s="16" t="n"/>
      <c r="C218" s="16" t="n"/>
      <c r="D218" s="16" t="n"/>
      <c r="E218" s="34" t="n"/>
      <c r="F218" s="18" t="n"/>
      <c r="G218" s="35">
        <f>IF($E218="","",$E218*$F218/100)</f>
        <v/>
      </c>
      <c r="H218" s="18" t="n"/>
      <c r="I218" s="35">
        <f>IF($E218="","",$E218*$H218/100)</f>
        <v/>
      </c>
      <c r="J218" s="35">
        <f>IF($E218="","",$E218+$G218-$I218)</f>
        <v/>
      </c>
      <c r="K218" s="16" t="n"/>
      <c r="L218" s="20">
        <f>IF($A218="","",ROUNDUP(MONTH($A218)/3,0))</f>
        <v/>
      </c>
    </row>
    <row r="219">
      <c r="A219" s="33" t="n"/>
      <c r="B219" s="16" t="n"/>
      <c r="C219" s="16" t="n"/>
      <c r="D219" s="16" t="n"/>
      <c r="E219" s="34" t="n"/>
      <c r="F219" s="18" t="n"/>
      <c r="G219" s="35">
        <f>IF($E219="","",$E219*$F219/100)</f>
        <v/>
      </c>
      <c r="H219" s="18" t="n"/>
      <c r="I219" s="35">
        <f>IF($E219="","",$E219*$H219/100)</f>
        <v/>
      </c>
      <c r="J219" s="35">
        <f>IF($E219="","",$E219+$G219-$I219)</f>
        <v/>
      </c>
      <c r="K219" s="16" t="n"/>
      <c r="L219" s="20">
        <f>IF($A219="","",ROUNDUP(MONTH($A219)/3,0))</f>
        <v/>
      </c>
    </row>
    <row r="220">
      <c r="A220" s="33" t="n"/>
      <c r="B220" s="16" t="n"/>
      <c r="C220" s="16" t="n"/>
      <c r="D220" s="16" t="n"/>
      <c r="E220" s="34" t="n"/>
      <c r="F220" s="18" t="n"/>
      <c r="G220" s="35">
        <f>IF($E220="","",$E220*$F220/100)</f>
        <v/>
      </c>
      <c r="H220" s="18" t="n"/>
      <c r="I220" s="35">
        <f>IF($E220="","",$E220*$H220/100)</f>
        <v/>
      </c>
      <c r="J220" s="35">
        <f>IF($E220="","",$E220+$G220-$I220)</f>
        <v/>
      </c>
      <c r="K220" s="16" t="n"/>
      <c r="L220" s="20">
        <f>IF($A220="","",ROUNDUP(MONTH($A220)/3,0))</f>
        <v/>
      </c>
    </row>
    <row r="221">
      <c r="A221" s="33" t="n"/>
      <c r="B221" s="16" t="n"/>
      <c r="C221" s="16" t="n"/>
      <c r="D221" s="16" t="n"/>
      <c r="E221" s="34" t="n"/>
      <c r="F221" s="18" t="n"/>
      <c r="G221" s="35">
        <f>IF($E221="","",$E221*$F221/100)</f>
        <v/>
      </c>
      <c r="H221" s="18" t="n"/>
      <c r="I221" s="35">
        <f>IF($E221="","",$E221*$H221/100)</f>
        <v/>
      </c>
      <c r="J221" s="35">
        <f>IF($E221="","",$E221+$G221-$I221)</f>
        <v/>
      </c>
      <c r="K221" s="16" t="n"/>
      <c r="L221" s="20">
        <f>IF($A221="","",ROUNDUP(MONTH($A221)/3,0))</f>
        <v/>
      </c>
    </row>
    <row r="222">
      <c r="A222" s="33" t="n"/>
      <c r="B222" s="16" t="n"/>
      <c r="C222" s="16" t="n"/>
      <c r="D222" s="16" t="n"/>
      <c r="E222" s="34" t="n"/>
      <c r="F222" s="18" t="n"/>
      <c r="G222" s="35">
        <f>IF($E222="","",$E222*$F222/100)</f>
        <v/>
      </c>
      <c r="H222" s="18" t="n"/>
      <c r="I222" s="35">
        <f>IF($E222="","",$E222*$H222/100)</f>
        <v/>
      </c>
      <c r="J222" s="35">
        <f>IF($E222="","",$E222+$G222-$I222)</f>
        <v/>
      </c>
      <c r="K222" s="16" t="n"/>
      <c r="L222" s="20">
        <f>IF($A222="","",ROUNDUP(MONTH($A222)/3,0))</f>
        <v/>
      </c>
    </row>
    <row r="223">
      <c r="A223" s="33" t="n"/>
      <c r="B223" s="16" t="n"/>
      <c r="C223" s="16" t="n"/>
      <c r="D223" s="16" t="n"/>
      <c r="E223" s="34" t="n"/>
      <c r="F223" s="18" t="n"/>
      <c r="G223" s="35">
        <f>IF($E223="","",$E223*$F223/100)</f>
        <v/>
      </c>
      <c r="H223" s="18" t="n"/>
      <c r="I223" s="35">
        <f>IF($E223="","",$E223*$H223/100)</f>
        <v/>
      </c>
      <c r="J223" s="35">
        <f>IF($E223="","",$E223+$G223-$I223)</f>
        <v/>
      </c>
      <c r="K223" s="16" t="n"/>
      <c r="L223" s="20">
        <f>IF($A223="","",ROUNDUP(MONTH($A223)/3,0))</f>
        <v/>
      </c>
    </row>
    <row r="224">
      <c r="A224" s="33" t="n"/>
      <c r="B224" s="16" t="n"/>
      <c r="C224" s="16" t="n"/>
      <c r="D224" s="16" t="n"/>
      <c r="E224" s="34" t="n"/>
      <c r="F224" s="18" t="n"/>
      <c r="G224" s="35">
        <f>IF($E224="","",$E224*$F224/100)</f>
        <v/>
      </c>
      <c r="H224" s="18" t="n"/>
      <c r="I224" s="35">
        <f>IF($E224="","",$E224*$H224/100)</f>
        <v/>
      </c>
      <c r="J224" s="35">
        <f>IF($E224="","",$E224+$G224-$I224)</f>
        <v/>
      </c>
      <c r="K224" s="16" t="n"/>
      <c r="L224" s="20">
        <f>IF($A224="","",ROUNDUP(MONTH($A224)/3,0))</f>
        <v/>
      </c>
    </row>
    <row r="225">
      <c r="A225" s="33" t="n"/>
      <c r="B225" s="16" t="n"/>
      <c r="C225" s="16" t="n"/>
      <c r="D225" s="16" t="n"/>
      <c r="E225" s="34" t="n"/>
      <c r="F225" s="18" t="n"/>
      <c r="G225" s="35">
        <f>IF($E225="","",$E225*$F225/100)</f>
        <v/>
      </c>
      <c r="H225" s="18" t="n"/>
      <c r="I225" s="35">
        <f>IF($E225="","",$E225*$H225/100)</f>
        <v/>
      </c>
      <c r="J225" s="35">
        <f>IF($E225="","",$E225+$G225-$I225)</f>
        <v/>
      </c>
      <c r="K225" s="16" t="n"/>
      <c r="L225" s="20">
        <f>IF($A225="","",ROUNDUP(MONTH($A225)/3,0))</f>
        <v/>
      </c>
    </row>
    <row r="226">
      <c r="A226" s="33" t="n"/>
      <c r="B226" s="16" t="n"/>
      <c r="C226" s="16" t="n"/>
      <c r="D226" s="16" t="n"/>
      <c r="E226" s="34" t="n"/>
      <c r="F226" s="18" t="n"/>
      <c r="G226" s="35">
        <f>IF($E226="","",$E226*$F226/100)</f>
        <v/>
      </c>
      <c r="H226" s="18" t="n"/>
      <c r="I226" s="35">
        <f>IF($E226="","",$E226*$H226/100)</f>
        <v/>
      </c>
      <c r="J226" s="35">
        <f>IF($E226="","",$E226+$G226-$I226)</f>
        <v/>
      </c>
      <c r="K226" s="16" t="n"/>
      <c r="L226" s="20">
        <f>IF($A226="","",ROUNDUP(MONTH($A226)/3,0))</f>
        <v/>
      </c>
    </row>
    <row r="227">
      <c r="A227" s="33" t="n"/>
      <c r="B227" s="16" t="n"/>
      <c r="C227" s="16" t="n"/>
      <c r="D227" s="16" t="n"/>
      <c r="E227" s="34" t="n"/>
      <c r="F227" s="18" t="n"/>
      <c r="G227" s="35">
        <f>IF($E227="","",$E227*$F227/100)</f>
        <v/>
      </c>
      <c r="H227" s="18" t="n"/>
      <c r="I227" s="35">
        <f>IF($E227="","",$E227*$H227/100)</f>
        <v/>
      </c>
      <c r="J227" s="35">
        <f>IF($E227="","",$E227+$G227-$I227)</f>
        <v/>
      </c>
      <c r="K227" s="16" t="n"/>
      <c r="L227" s="20">
        <f>IF($A227="","",ROUNDUP(MONTH($A227)/3,0))</f>
        <v/>
      </c>
    </row>
    <row r="228">
      <c r="A228" s="33" t="n"/>
      <c r="B228" s="16" t="n"/>
      <c r="C228" s="16" t="n"/>
      <c r="D228" s="16" t="n"/>
      <c r="E228" s="34" t="n"/>
      <c r="F228" s="18" t="n"/>
      <c r="G228" s="35">
        <f>IF($E228="","",$E228*$F228/100)</f>
        <v/>
      </c>
      <c r="H228" s="18" t="n"/>
      <c r="I228" s="35">
        <f>IF($E228="","",$E228*$H228/100)</f>
        <v/>
      </c>
      <c r="J228" s="35">
        <f>IF($E228="","",$E228+$G228-$I228)</f>
        <v/>
      </c>
      <c r="K228" s="16" t="n"/>
      <c r="L228" s="20">
        <f>IF($A228="","",ROUNDUP(MONTH($A228)/3,0))</f>
        <v/>
      </c>
    </row>
    <row r="229">
      <c r="A229" s="33" t="n"/>
      <c r="B229" s="16" t="n"/>
      <c r="C229" s="16" t="n"/>
      <c r="D229" s="16" t="n"/>
      <c r="E229" s="34" t="n"/>
      <c r="F229" s="18" t="n"/>
      <c r="G229" s="35">
        <f>IF($E229="","",$E229*$F229/100)</f>
        <v/>
      </c>
      <c r="H229" s="18" t="n"/>
      <c r="I229" s="35">
        <f>IF($E229="","",$E229*$H229/100)</f>
        <v/>
      </c>
      <c r="J229" s="35">
        <f>IF($E229="","",$E229+$G229-$I229)</f>
        <v/>
      </c>
      <c r="K229" s="16" t="n"/>
      <c r="L229" s="20">
        <f>IF($A229="","",ROUNDUP(MONTH($A229)/3,0))</f>
        <v/>
      </c>
    </row>
    <row r="230">
      <c r="A230" s="33" t="n"/>
      <c r="B230" s="16" t="n"/>
      <c r="C230" s="16" t="n"/>
      <c r="D230" s="16" t="n"/>
      <c r="E230" s="34" t="n"/>
      <c r="F230" s="18" t="n"/>
      <c r="G230" s="35">
        <f>IF($E230="","",$E230*$F230/100)</f>
        <v/>
      </c>
      <c r="H230" s="18" t="n"/>
      <c r="I230" s="35">
        <f>IF($E230="","",$E230*$H230/100)</f>
        <v/>
      </c>
      <c r="J230" s="35">
        <f>IF($E230="","",$E230+$G230-$I230)</f>
        <v/>
      </c>
      <c r="K230" s="16" t="n"/>
      <c r="L230" s="20">
        <f>IF($A230="","",ROUNDUP(MONTH($A230)/3,0))</f>
        <v/>
      </c>
    </row>
    <row r="231">
      <c r="A231" s="33" t="n"/>
      <c r="B231" s="16" t="n"/>
      <c r="C231" s="16" t="n"/>
      <c r="D231" s="16" t="n"/>
      <c r="E231" s="34" t="n"/>
      <c r="F231" s="18" t="n"/>
      <c r="G231" s="35">
        <f>IF($E231="","",$E231*$F231/100)</f>
        <v/>
      </c>
      <c r="H231" s="18" t="n"/>
      <c r="I231" s="35">
        <f>IF($E231="","",$E231*$H231/100)</f>
        <v/>
      </c>
      <c r="J231" s="35">
        <f>IF($E231="","",$E231+$G231-$I231)</f>
        <v/>
      </c>
      <c r="K231" s="16" t="n"/>
      <c r="L231" s="20">
        <f>IF($A231="","",ROUNDUP(MONTH($A231)/3,0))</f>
        <v/>
      </c>
    </row>
    <row r="232">
      <c r="A232" s="33" t="n"/>
      <c r="B232" s="16" t="n"/>
      <c r="C232" s="16" t="n"/>
      <c r="D232" s="16" t="n"/>
      <c r="E232" s="34" t="n"/>
      <c r="F232" s="18" t="n"/>
      <c r="G232" s="35">
        <f>IF($E232="","",$E232*$F232/100)</f>
        <v/>
      </c>
      <c r="H232" s="18" t="n"/>
      <c r="I232" s="35">
        <f>IF($E232="","",$E232*$H232/100)</f>
        <v/>
      </c>
      <c r="J232" s="35">
        <f>IF($E232="","",$E232+$G232-$I232)</f>
        <v/>
      </c>
      <c r="K232" s="16" t="n"/>
      <c r="L232" s="20">
        <f>IF($A232="","",ROUNDUP(MONTH($A232)/3,0))</f>
        <v/>
      </c>
    </row>
    <row r="233">
      <c r="A233" s="33" t="n"/>
      <c r="B233" s="16" t="n"/>
      <c r="C233" s="16" t="n"/>
      <c r="D233" s="16" t="n"/>
      <c r="E233" s="34" t="n"/>
      <c r="F233" s="18" t="n"/>
      <c r="G233" s="35">
        <f>IF($E233="","",$E233*$F233/100)</f>
        <v/>
      </c>
      <c r="H233" s="18" t="n"/>
      <c r="I233" s="35">
        <f>IF($E233="","",$E233*$H233/100)</f>
        <v/>
      </c>
      <c r="J233" s="35">
        <f>IF($E233="","",$E233+$G233-$I233)</f>
        <v/>
      </c>
      <c r="K233" s="16" t="n"/>
      <c r="L233" s="20">
        <f>IF($A233="","",ROUNDUP(MONTH($A233)/3,0))</f>
        <v/>
      </c>
    </row>
    <row r="234">
      <c r="A234" s="33" t="n"/>
      <c r="B234" s="16" t="n"/>
      <c r="C234" s="16" t="n"/>
      <c r="D234" s="16" t="n"/>
      <c r="E234" s="34" t="n"/>
      <c r="F234" s="18" t="n"/>
      <c r="G234" s="35">
        <f>IF($E234="","",$E234*$F234/100)</f>
        <v/>
      </c>
      <c r="H234" s="18" t="n"/>
      <c r="I234" s="35">
        <f>IF($E234="","",$E234*$H234/100)</f>
        <v/>
      </c>
      <c r="J234" s="35">
        <f>IF($E234="","",$E234+$G234-$I234)</f>
        <v/>
      </c>
      <c r="K234" s="16" t="n"/>
      <c r="L234" s="20">
        <f>IF($A234="","",ROUNDUP(MONTH($A234)/3,0))</f>
        <v/>
      </c>
    </row>
    <row r="235">
      <c r="A235" s="33" t="n"/>
      <c r="B235" s="16" t="n"/>
      <c r="C235" s="16" t="n"/>
      <c r="D235" s="16" t="n"/>
      <c r="E235" s="34" t="n"/>
      <c r="F235" s="18" t="n"/>
      <c r="G235" s="35">
        <f>IF($E235="","",$E235*$F235/100)</f>
        <v/>
      </c>
      <c r="H235" s="18" t="n"/>
      <c r="I235" s="35">
        <f>IF($E235="","",$E235*$H235/100)</f>
        <v/>
      </c>
      <c r="J235" s="35">
        <f>IF($E235="","",$E235+$G235-$I235)</f>
        <v/>
      </c>
      <c r="K235" s="16" t="n"/>
      <c r="L235" s="20">
        <f>IF($A235="","",ROUNDUP(MONTH($A235)/3,0))</f>
        <v/>
      </c>
    </row>
    <row r="236">
      <c r="A236" s="33" t="n"/>
      <c r="B236" s="16" t="n"/>
      <c r="C236" s="16" t="n"/>
      <c r="D236" s="16" t="n"/>
      <c r="E236" s="34" t="n"/>
      <c r="F236" s="18" t="n"/>
      <c r="G236" s="35">
        <f>IF($E236="","",$E236*$F236/100)</f>
        <v/>
      </c>
      <c r="H236" s="18" t="n"/>
      <c r="I236" s="35">
        <f>IF($E236="","",$E236*$H236/100)</f>
        <v/>
      </c>
      <c r="J236" s="35">
        <f>IF($E236="","",$E236+$G236-$I236)</f>
        <v/>
      </c>
      <c r="K236" s="16" t="n"/>
      <c r="L236" s="20">
        <f>IF($A236="","",ROUNDUP(MONTH($A236)/3,0))</f>
        <v/>
      </c>
    </row>
    <row r="237">
      <c r="A237" s="33" t="n"/>
      <c r="B237" s="16" t="n"/>
      <c r="C237" s="16" t="n"/>
      <c r="D237" s="16" t="n"/>
      <c r="E237" s="34" t="n"/>
      <c r="F237" s="18" t="n"/>
      <c r="G237" s="35">
        <f>IF($E237="","",$E237*$F237/100)</f>
        <v/>
      </c>
      <c r="H237" s="18" t="n"/>
      <c r="I237" s="35">
        <f>IF($E237="","",$E237*$H237/100)</f>
        <v/>
      </c>
      <c r="J237" s="35">
        <f>IF($E237="","",$E237+$G237-$I237)</f>
        <v/>
      </c>
      <c r="K237" s="16" t="n"/>
      <c r="L237" s="20">
        <f>IF($A237="","",ROUNDUP(MONTH($A237)/3,0))</f>
        <v/>
      </c>
    </row>
    <row r="238">
      <c r="A238" s="33" t="n"/>
      <c r="B238" s="16" t="n"/>
      <c r="C238" s="16" t="n"/>
      <c r="D238" s="16" t="n"/>
      <c r="E238" s="34" t="n"/>
      <c r="F238" s="18" t="n"/>
      <c r="G238" s="35">
        <f>IF($E238="","",$E238*$F238/100)</f>
        <v/>
      </c>
      <c r="H238" s="18" t="n"/>
      <c r="I238" s="35">
        <f>IF($E238="","",$E238*$H238/100)</f>
        <v/>
      </c>
      <c r="J238" s="35">
        <f>IF($E238="","",$E238+$G238-$I238)</f>
        <v/>
      </c>
      <c r="K238" s="16" t="n"/>
      <c r="L238" s="20">
        <f>IF($A238="","",ROUNDUP(MONTH($A238)/3,0))</f>
        <v/>
      </c>
    </row>
    <row r="239">
      <c r="A239" s="33" t="n"/>
      <c r="B239" s="16" t="n"/>
      <c r="C239" s="16" t="n"/>
      <c r="D239" s="16" t="n"/>
      <c r="E239" s="34" t="n"/>
      <c r="F239" s="18" t="n"/>
      <c r="G239" s="35">
        <f>IF($E239="","",$E239*$F239/100)</f>
        <v/>
      </c>
      <c r="H239" s="18" t="n"/>
      <c r="I239" s="35">
        <f>IF($E239="","",$E239*$H239/100)</f>
        <v/>
      </c>
      <c r="J239" s="35">
        <f>IF($E239="","",$E239+$G239-$I239)</f>
        <v/>
      </c>
      <c r="K239" s="16" t="n"/>
      <c r="L239" s="20">
        <f>IF($A239="","",ROUNDUP(MONTH($A239)/3,0))</f>
        <v/>
      </c>
    </row>
    <row r="240">
      <c r="A240" s="33" t="n"/>
      <c r="B240" s="16" t="n"/>
      <c r="C240" s="16" t="n"/>
      <c r="D240" s="16" t="n"/>
      <c r="E240" s="34" t="n"/>
      <c r="F240" s="18" t="n"/>
      <c r="G240" s="35">
        <f>IF($E240="","",$E240*$F240/100)</f>
        <v/>
      </c>
      <c r="H240" s="18" t="n"/>
      <c r="I240" s="35">
        <f>IF($E240="","",$E240*$H240/100)</f>
        <v/>
      </c>
      <c r="J240" s="35">
        <f>IF($E240="","",$E240+$G240-$I240)</f>
        <v/>
      </c>
      <c r="K240" s="16" t="n"/>
      <c r="L240" s="20">
        <f>IF($A240="","",ROUNDUP(MONTH($A240)/3,0))</f>
        <v/>
      </c>
    </row>
    <row r="241">
      <c r="A241" s="33" t="n"/>
      <c r="B241" s="16" t="n"/>
      <c r="C241" s="16" t="n"/>
      <c r="D241" s="16" t="n"/>
      <c r="E241" s="34" t="n"/>
      <c r="F241" s="18" t="n"/>
      <c r="G241" s="35">
        <f>IF($E241="","",$E241*$F241/100)</f>
        <v/>
      </c>
      <c r="H241" s="18" t="n"/>
      <c r="I241" s="35">
        <f>IF($E241="","",$E241*$H241/100)</f>
        <v/>
      </c>
      <c r="J241" s="35">
        <f>IF($E241="","",$E241+$G241-$I241)</f>
        <v/>
      </c>
      <c r="K241" s="16" t="n"/>
      <c r="L241" s="20">
        <f>IF($A241="","",ROUNDUP(MONTH($A241)/3,0))</f>
        <v/>
      </c>
    </row>
    <row r="242">
      <c r="A242" s="33" t="n"/>
      <c r="B242" s="16" t="n"/>
      <c r="C242" s="16" t="n"/>
      <c r="D242" s="16" t="n"/>
      <c r="E242" s="34" t="n"/>
      <c r="F242" s="18" t="n"/>
      <c r="G242" s="35">
        <f>IF($E242="","",$E242*$F242/100)</f>
        <v/>
      </c>
      <c r="H242" s="18" t="n"/>
      <c r="I242" s="35">
        <f>IF($E242="","",$E242*$H242/100)</f>
        <v/>
      </c>
      <c r="J242" s="35">
        <f>IF($E242="","",$E242+$G242-$I242)</f>
        <v/>
      </c>
      <c r="K242" s="16" t="n"/>
      <c r="L242" s="20">
        <f>IF($A242="","",ROUNDUP(MONTH($A242)/3,0))</f>
        <v/>
      </c>
    </row>
    <row r="243">
      <c r="A243" s="33" t="n"/>
      <c r="B243" s="16" t="n"/>
      <c r="C243" s="16" t="n"/>
      <c r="D243" s="16" t="n"/>
      <c r="E243" s="34" t="n"/>
      <c r="F243" s="18" t="n"/>
      <c r="G243" s="35">
        <f>IF($E243="","",$E243*$F243/100)</f>
        <v/>
      </c>
      <c r="H243" s="18" t="n"/>
      <c r="I243" s="35">
        <f>IF($E243="","",$E243*$H243/100)</f>
        <v/>
      </c>
      <c r="J243" s="35">
        <f>IF($E243="","",$E243+$G243-$I243)</f>
        <v/>
      </c>
      <c r="K243" s="16" t="n"/>
      <c r="L243" s="20">
        <f>IF($A243="","",ROUNDUP(MONTH($A243)/3,0))</f>
        <v/>
      </c>
    </row>
    <row r="244">
      <c r="A244" s="33" t="n"/>
      <c r="B244" s="16" t="n"/>
      <c r="C244" s="16" t="n"/>
      <c r="D244" s="16" t="n"/>
      <c r="E244" s="34" t="n"/>
      <c r="F244" s="18" t="n"/>
      <c r="G244" s="35">
        <f>IF($E244="","",$E244*$F244/100)</f>
        <v/>
      </c>
      <c r="H244" s="18" t="n"/>
      <c r="I244" s="35">
        <f>IF($E244="","",$E244*$H244/100)</f>
        <v/>
      </c>
      <c r="J244" s="35">
        <f>IF($E244="","",$E244+$G244-$I244)</f>
        <v/>
      </c>
      <c r="K244" s="16" t="n"/>
      <c r="L244" s="20">
        <f>IF($A244="","",ROUNDUP(MONTH($A244)/3,0))</f>
        <v/>
      </c>
    </row>
    <row r="245">
      <c r="A245" s="33" t="n"/>
      <c r="B245" s="16" t="n"/>
      <c r="C245" s="16" t="n"/>
      <c r="D245" s="16" t="n"/>
      <c r="E245" s="34" t="n"/>
      <c r="F245" s="18" t="n"/>
      <c r="G245" s="35">
        <f>IF($E245="","",$E245*$F245/100)</f>
        <v/>
      </c>
      <c r="H245" s="18" t="n"/>
      <c r="I245" s="35">
        <f>IF($E245="","",$E245*$H245/100)</f>
        <v/>
      </c>
      <c r="J245" s="35">
        <f>IF($E245="","",$E245+$G245-$I245)</f>
        <v/>
      </c>
      <c r="K245" s="16" t="n"/>
      <c r="L245" s="20">
        <f>IF($A245="","",ROUNDUP(MONTH($A245)/3,0))</f>
        <v/>
      </c>
    </row>
    <row r="246">
      <c r="A246" s="33" t="n"/>
      <c r="B246" s="16" t="n"/>
      <c r="C246" s="16" t="n"/>
      <c r="D246" s="16" t="n"/>
      <c r="E246" s="34" t="n"/>
      <c r="F246" s="18" t="n"/>
      <c r="G246" s="35">
        <f>IF($E246="","",$E246*$F246/100)</f>
        <v/>
      </c>
      <c r="H246" s="18" t="n"/>
      <c r="I246" s="35">
        <f>IF($E246="","",$E246*$H246/100)</f>
        <v/>
      </c>
      <c r="J246" s="35">
        <f>IF($E246="","",$E246+$G246-$I246)</f>
        <v/>
      </c>
      <c r="K246" s="16" t="n"/>
      <c r="L246" s="20">
        <f>IF($A246="","",ROUNDUP(MONTH($A246)/3,0))</f>
        <v/>
      </c>
    </row>
    <row r="247">
      <c r="A247" s="33" t="n"/>
      <c r="B247" s="16" t="n"/>
      <c r="C247" s="16" t="n"/>
      <c r="D247" s="16" t="n"/>
      <c r="E247" s="34" t="n"/>
      <c r="F247" s="18" t="n"/>
      <c r="G247" s="35">
        <f>IF($E247="","",$E247*$F247/100)</f>
        <v/>
      </c>
      <c r="H247" s="18" t="n"/>
      <c r="I247" s="35">
        <f>IF($E247="","",$E247*$H247/100)</f>
        <v/>
      </c>
      <c r="J247" s="35">
        <f>IF($E247="","",$E247+$G247-$I247)</f>
        <v/>
      </c>
      <c r="K247" s="16" t="n"/>
      <c r="L247" s="20">
        <f>IF($A247="","",ROUNDUP(MONTH($A247)/3,0))</f>
        <v/>
      </c>
    </row>
    <row r="248">
      <c r="A248" s="33" t="n"/>
      <c r="B248" s="16" t="n"/>
      <c r="C248" s="16" t="n"/>
      <c r="D248" s="16" t="n"/>
      <c r="E248" s="34" t="n"/>
      <c r="F248" s="18" t="n"/>
      <c r="G248" s="35">
        <f>IF($E248="","",$E248*$F248/100)</f>
        <v/>
      </c>
      <c r="H248" s="18" t="n"/>
      <c r="I248" s="35">
        <f>IF($E248="","",$E248*$H248/100)</f>
        <v/>
      </c>
      <c r="J248" s="35">
        <f>IF($E248="","",$E248+$G248-$I248)</f>
        <v/>
      </c>
      <c r="K248" s="16" t="n"/>
      <c r="L248" s="20">
        <f>IF($A248="","",ROUNDUP(MONTH($A248)/3,0))</f>
        <v/>
      </c>
    </row>
    <row r="249">
      <c r="A249" s="33" t="n"/>
      <c r="B249" s="16" t="n"/>
      <c r="C249" s="16" t="n"/>
      <c r="D249" s="16" t="n"/>
      <c r="E249" s="34" t="n"/>
      <c r="F249" s="18" t="n"/>
      <c r="G249" s="35">
        <f>IF($E249="","",$E249*$F249/100)</f>
        <v/>
      </c>
      <c r="H249" s="18" t="n"/>
      <c r="I249" s="35">
        <f>IF($E249="","",$E249*$H249/100)</f>
        <v/>
      </c>
      <c r="J249" s="35">
        <f>IF($E249="","",$E249+$G249-$I249)</f>
        <v/>
      </c>
      <c r="K249" s="16" t="n"/>
      <c r="L249" s="20">
        <f>IF($A249="","",ROUNDUP(MONTH($A249)/3,0))</f>
        <v/>
      </c>
    </row>
    <row r="250">
      <c r="A250" s="33" t="n"/>
      <c r="B250" s="16" t="n"/>
      <c r="C250" s="16" t="n"/>
      <c r="D250" s="16" t="n"/>
      <c r="E250" s="34" t="n"/>
      <c r="F250" s="18" t="n"/>
      <c r="G250" s="35">
        <f>IF($E250="","",$E250*$F250/100)</f>
        <v/>
      </c>
      <c r="H250" s="18" t="n"/>
      <c r="I250" s="35">
        <f>IF($E250="","",$E250*$H250/100)</f>
        <v/>
      </c>
      <c r="J250" s="35">
        <f>IF($E250="","",$E250+$G250-$I250)</f>
        <v/>
      </c>
      <c r="K250" s="16" t="n"/>
      <c r="L250" s="20">
        <f>IF($A250="","",ROUNDUP(MONTH($A250)/3,0))</f>
        <v/>
      </c>
    </row>
    <row r="251">
      <c r="A251" s="33" t="n"/>
      <c r="B251" s="16" t="n"/>
      <c r="C251" s="16" t="n"/>
      <c r="D251" s="16" t="n"/>
      <c r="E251" s="34" t="n"/>
      <c r="F251" s="18" t="n"/>
      <c r="G251" s="35">
        <f>IF($E251="","",$E251*$F251/100)</f>
        <v/>
      </c>
      <c r="H251" s="18" t="n"/>
      <c r="I251" s="35">
        <f>IF($E251="","",$E251*$H251/100)</f>
        <v/>
      </c>
      <c r="J251" s="35">
        <f>IF($E251="","",$E251+$G251-$I251)</f>
        <v/>
      </c>
      <c r="K251" s="16" t="n"/>
      <c r="L251" s="20">
        <f>IF($A251="","",ROUNDUP(MONTH($A251)/3,0))</f>
        <v/>
      </c>
    </row>
    <row r="252">
      <c r="A252" s="33" t="n"/>
      <c r="B252" s="16" t="n"/>
      <c r="C252" s="16" t="n"/>
      <c r="D252" s="16" t="n"/>
      <c r="E252" s="34" t="n"/>
      <c r="F252" s="18" t="n"/>
      <c r="G252" s="35">
        <f>IF($E252="","",$E252*$F252/100)</f>
        <v/>
      </c>
      <c r="H252" s="18" t="n"/>
      <c r="I252" s="35">
        <f>IF($E252="","",$E252*$H252/100)</f>
        <v/>
      </c>
      <c r="J252" s="35">
        <f>IF($E252="","",$E252+$G252-$I252)</f>
        <v/>
      </c>
      <c r="K252" s="16" t="n"/>
      <c r="L252" s="20">
        <f>IF($A252="","",ROUNDUP(MONTH($A252)/3,0))</f>
        <v/>
      </c>
    </row>
    <row r="253">
      <c r="A253" s="33" t="n"/>
      <c r="B253" s="16" t="n"/>
      <c r="C253" s="16" t="n"/>
      <c r="D253" s="16" t="n"/>
      <c r="E253" s="34" t="n"/>
      <c r="F253" s="18" t="n"/>
      <c r="G253" s="35">
        <f>IF($E253="","",$E253*$F253/100)</f>
        <v/>
      </c>
      <c r="H253" s="18" t="n"/>
      <c r="I253" s="35">
        <f>IF($E253="","",$E253*$H253/100)</f>
        <v/>
      </c>
      <c r="J253" s="35">
        <f>IF($E253="","",$E253+$G253-$I253)</f>
        <v/>
      </c>
      <c r="K253" s="16" t="n"/>
      <c r="L253" s="20">
        <f>IF($A253="","",ROUNDUP(MONTH($A253)/3,0))</f>
        <v/>
      </c>
    </row>
    <row r="254">
      <c r="A254" s="33" t="n"/>
      <c r="B254" s="16" t="n"/>
      <c r="C254" s="16" t="n"/>
      <c r="D254" s="16" t="n"/>
      <c r="E254" s="34" t="n"/>
      <c r="F254" s="18" t="n"/>
      <c r="G254" s="35">
        <f>IF($E254="","",$E254*$F254/100)</f>
        <v/>
      </c>
      <c r="H254" s="18" t="n"/>
      <c r="I254" s="35">
        <f>IF($E254="","",$E254*$H254/100)</f>
        <v/>
      </c>
      <c r="J254" s="35">
        <f>IF($E254="","",$E254+$G254-$I254)</f>
        <v/>
      </c>
      <c r="K254" s="16" t="n"/>
      <c r="L254" s="20">
        <f>IF($A254="","",ROUNDUP(MONTH($A254)/3,0))</f>
        <v/>
      </c>
    </row>
    <row r="255">
      <c r="A255" s="33" t="n"/>
      <c r="B255" s="16" t="n"/>
      <c r="C255" s="16" t="n"/>
      <c r="D255" s="16" t="n"/>
      <c r="E255" s="34" t="n"/>
      <c r="F255" s="18" t="n"/>
      <c r="G255" s="35">
        <f>IF($E255="","",$E255*$F255/100)</f>
        <v/>
      </c>
      <c r="H255" s="18" t="n"/>
      <c r="I255" s="35">
        <f>IF($E255="","",$E255*$H255/100)</f>
        <v/>
      </c>
      <c r="J255" s="35">
        <f>IF($E255="","",$E255+$G255-$I255)</f>
        <v/>
      </c>
      <c r="K255" s="16" t="n"/>
      <c r="L255" s="20">
        <f>IF($A255="","",ROUNDUP(MONTH($A255)/3,0))</f>
        <v/>
      </c>
    </row>
    <row r="256">
      <c r="A256" s="33" t="n"/>
      <c r="B256" s="16" t="n"/>
      <c r="C256" s="16" t="n"/>
      <c r="D256" s="16" t="n"/>
      <c r="E256" s="34" t="n"/>
      <c r="F256" s="18" t="n"/>
      <c r="G256" s="35">
        <f>IF($E256="","",$E256*$F256/100)</f>
        <v/>
      </c>
      <c r="H256" s="18" t="n"/>
      <c r="I256" s="35">
        <f>IF($E256="","",$E256*$H256/100)</f>
        <v/>
      </c>
      <c r="J256" s="35">
        <f>IF($E256="","",$E256+$G256-$I256)</f>
        <v/>
      </c>
      <c r="K256" s="16" t="n"/>
      <c r="L256" s="20">
        <f>IF($A256="","",ROUNDUP(MONTH($A256)/3,0))</f>
        <v/>
      </c>
    </row>
    <row r="257">
      <c r="A257" s="33" t="n"/>
      <c r="B257" s="16" t="n"/>
      <c r="C257" s="16" t="n"/>
      <c r="D257" s="16" t="n"/>
      <c r="E257" s="34" t="n"/>
      <c r="F257" s="18" t="n"/>
      <c r="G257" s="35">
        <f>IF($E257="","",$E257*$F257/100)</f>
        <v/>
      </c>
      <c r="H257" s="18" t="n"/>
      <c r="I257" s="35">
        <f>IF($E257="","",$E257*$H257/100)</f>
        <v/>
      </c>
      <c r="J257" s="35">
        <f>IF($E257="","",$E257+$G257-$I257)</f>
        <v/>
      </c>
      <c r="K257" s="16" t="n"/>
      <c r="L257" s="20">
        <f>IF($A257="","",ROUNDUP(MONTH($A257)/3,0))</f>
        <v/>
      </c>
    </row>
    <row r="258">
      <c r="A258" s="33" t="n"/>
      <c r="B258" s="16" t="n"/>
      <c r="C258" s="16" t="n"/>
      <c r="D258" s="16" t="n"/>
      <c r="E258" s="34" t="n"/>
      <c r="F258" s="18" t="n"/>
      <c r="G258" s="35">
        <f>IF($E258="","",$E258*$F258/100)</f>
        <v/>
      </c>
      <c r="H258" s="18" t="n"/>
      <c r="I258" s="35">
        <f>IF($E258="","",$E258*$H258/100)</f>
        <v/>
      </c>
      <c r="J258" s="35">
        <f>IF($E258="","",$E258+$G258-$I258)</f>
        <v/>
      </c>
      <c r="K258" s="16" t="n"/>
      <c r="L258" s="20">
        <f>IF($A258="","",ROUNDUP(MONTH($A258)/3,0))</f>
        <v/>
      </c>
    </row>
    <row r="259">
      <c r="A259" s="33" t="n"/>
      <c r="B259" s="16" t="n"/>
      <c r="C259" s="16" t="n"/>
      <c r="D259" s="16" t="n"/>
      <c r="E259" s="34" t="n"/>
      <c r="F259" s="18" t="n"/>
      <c r="G259" s="35">
        <f>IF($E259="","",$E259*$F259/100)</f>
        <v/>
      </c>
      <c r="H259" s="18" t="n"/>
      <c r="I259" s="35">
        <f>IF($E259="","",$E259*$H259/100)</f>
        <v/>
      </c>
      <c r="J259" s="35">
        <f>IF($E259="","",$E259+$G259-$I259)</f>
        <v/>
      </c>
      <c r="K259" s="16" t="n"/>
      <c r="L259" s="20">
        <f>IF($A259="","",ROUNDUP(MONTH($A259)/3,0))</f>
        <v/>
      </c>
    </row>
    <row r="260">
      <c r="A260" s="33" t="n"/>
      <c r="B260" s="16" t="n"/>
      <c r="C260" s="16" t="n"/>
      <c r="D260" s="16" t="n"/>
      <c r="E260" s="34" t="n"/>
      <c r="F260" s="18" t="n"/>
      <c r="G260" s="35">
        <f>IF($E260="","",$E260*$F260/100)</f>
        <v/>
      </c>
      <c r="H260" s="18" t="n"/>
      <c r="I260" s="35">
        <f>IF($E260="","",$E260*$H260/100)</f>
        <v/>
      </c>
      <c r="J260" s="35">
        <f>IF($E260="","",$E260+$G260-$I260)</f>
        <v/>
      </c>
      <c r="K260" s="16" t="n"/>
      <c r="L260" s="20">
        <f>IF($A260="","",ROUNDUP(MONTH($A260)/3,0))</f>
        <v/>
      </c>
    </row>
    <row r="261">
      <c r="A261" s="33" t="n"/>
      <c r="B261" s="16" t="n"/>
      <c r="C261" s="16" t="n"/>
      <c r="D261" s="16" t="n"/>
      <c r="E261" s="34" t="n"/>
      <c r="F261" s="18" t="n"/>
      <c r="G261" s="35">
        <f>IF($E261="","",$E261*$F261/100)</f>
        <v/>
      </c>
      <c r="H261" s="18" t="n"/>
      <c r="I261" s="35">
        <f>IF($E261="","",$E261*$H261/100)</f>
        <v/>
      </c>
      <c r="J261" s="35">
        <f>IF($E261="","",$E261+$G261-$I261)</f>
        <v/>
      </c>
      <c r="K261" s="16" t="n"/>
      <c r="L261" s="20">
        <f>IF($A261="","",ROUNDUP(MONTH($A261)/3,0))</f>
        <v/>
      </c>
    </row>
    <row r="262">
      <c r="A262" s="33" t="n"/>
      <c r="B262" s="16" t="n"/>
      <c r="C262" s="16" t="n"/>
      <c r="D262" s="16" t="n"/>
      <c r="E262" s="34" t="n"/>
      <c r="F262" s="18" t="n"/>
      <c r="G262" s="35">
        <f>IF($E262="","",$E262*$F262/100)</f>
        <v/>
      </c>
      <c r="H262" s="18" t="n"/>
      <c r="I262" s="35">
        <f>IF($E262="","",$E262*$H262/100)</f>
        <v/>
      </c>
      <c r="J262" s="35">
        <f>IF($E262="","",$E262+$G262-$I262)</f>
        <v/>
      </c>
      <c r="K262" s="16" t="n"/>
      <c r="L262" s="20">
        <f>IF($A262="","",ROUNDUP(MONTH($A262)/3,0))</f>
        <v/>
      </c>
    </row>
    <row r="263">
      <c r="A263" s="33" t="n"/>
      <c r="B263" s="16" t="n"/>
      <c r="C263" s="16" t="n"/>
      <c r="D263" s="16" t="n"/>
      <c r="E263" s="34" t="n"/>
      <c r="F263" s="18" t="n"/>
      <c r="G263" s="35">
        <f>IF($E263="","",$E263*$F263/100)</f>
        <v/>
      </c>
      <c r="H263" s="18" t="n"/>
      <c r="I263" s="35">
        <f>IF($E263="","",$E263*$H263/100)</f>
        <v/>
      </c>
      <c r="J263" s="35">
        <f>IF($E263="","",$E263+$G263-$I263)</f>
        <v/>
      </c>
      <c r="K263" s="16" t="n"/>
      <c r="L263" s="20">
        <f>IF($A263="","",ROUNDUP(MONTH($A263)/3,0))</f>
        <v/>
      </c>
    </row>
    <row r="264">
      <c r="A264" s="33" t="n"/>
      <c r="B264" s="16" t="n"/>
      <c r="C264" s="16" t="n"/>
      <c r="D264" s="16" t="n"/>
      <c r="E264" s="34" t="n"/>
      <c r="F264" s="18" t="n"/>
      <c r="G264" s="35">
        <f>IF($E264="","",$E264*$F264/100)</f>
        <v/>
      </c>
      <c r="H264" s="18" t="n"/>
      <c r="I264" s="35">
        <f>IF($E264="","",$E264*$H264/100)</f>
        <v/>
      </c>
      <c r="J264" s="35">
        <f>IF($E264="","",$E264+$G264-$I264)</f>
        <v/>
      </c>
      <c r="K264" s="16" t="n"/>
      <c r="L264" s="20">
        <f>IF($A264="","",ROUNDUP(MONTH($A264)/3,0))</f>
        <v/>
      </c>
    </row>
    <row r="265">
      <c r="A265" s="33" t="n"/>
      <c r="B265" s="16" t="n"/>
      <c r="C265" s="16" t="n"/>
      <c r="D265" s="16" t="n"/>
      <c r="E265" s="34" t="n"/>
      <c r="F265" s="18" t="n"/>
      <c r="G265" s="35">
        <f>IF($E265="","",$E265*$F265/100)</f>
        <v/>
      </c>
      <c r="H265" s="18" t="n"/>
      <c r="I265" s="35">
        <f>IF($E265="","",$E265*$H265/100)</f>
        <v/>
      </c>
      <c r="J265" s="35">
        <f>IF($E265="","",$E265+$G265-$I265)</f>
        <v/>
      </c>
      <c r="K265" s="16" t="n"/>
      <c r="L265" s="20">
        <f>IF($A265="","",ROUNDUP(MONTH($A265)/3,0))</f>
        <v/>
      </c>
    </row>
    <row r="266">
      <c r="A266" s="33" t="n"/>
      <c r="B266" s="16" t="n"/>
      <c r="C266" s="16" t="n"/>
      <c r="D266" s="16" t="n"/>
      <c r="E266" s="34" t="n"/>
      <c r="F266" s="18" t="n"/>
      <c r="G266" s="35">
        <f>IF($E266="","",$E266*$F266/100)</f>
        <v/>
      </c>
      <c r="H266" s="18" t="n"/>
      <c r="I266" s="35">
        <f>IF($E266="","",$E266*$H266/100)</f>
        <v/>
      </c>
      <c r="J266" s="35">
        <f>IF($E266="","",$E266+$G266-$I266)</f>
        <v/>
      </c>
      <c r="K266" s="16" t="n"/>
      <c r="L266" s="20">
        <f>IF($A266="","",ROUNDUP(MONTH($A266)/3,0))</f>
        <v/>
      </c>
    </row>
    <row r="267">
      <c r="A267" s="33" t="n"/>
      <c r="B267" s="16" t="n"/>
      <c r="C267" s="16" t="n"/>
      <c r="D267" s="16" t="n"/>
      <c r="E267" s="34" t="n"/>
      <c r="F267" s="18" t="n"/>
      <c r="G267" s="35">
        <f>IF($E267="","",$E267*$F267/100)</f>
        <v/>
      </c>
      <c r="H267" s="18" t="n"/>
      <c r="I267" s="35">
        <f>IF($E267="","",$E267*$H267/100)</f>
        <v/>
      </c>
      <c r="J267" s="35">
        <f>IF($E267="","",$E267+$G267-$I267)</f>
        <v/>
      </c>
      <c r="K267" s="16" t="n"/>
      <c r="L267" s="20">
        <f>IF($A267="","",ROUNDUP(MONTH($A267)/3,0))</f>
        <v/>
      </c>
    </row>
    <row r="268">
      <c r="A268" s="33" t="n"/>
      <c r="B268" s="16" t="n"/>
      <c r="C268" s="16" t="n"/>
      <c r="D268" s="16" t="n"/>
      <c r="E268" s="34" t="n"/>
      <c r="F268" s="18" t="n"/>
      <c r="G268" s="35">
        <f>IF($E268="","",$E268*$F268/100)</f>
        <v/>
      </c>
      <c r="H268" s="18" t="n"/>
      <c r="I268" s="35">
        <f>IF($E268="","",$E268*$H268/100)</f>
        <v/>
      </c>
      <c r="J268" s="35">
        <f>IF($E268="","",$E268+$G268-$I268)</f>
        <v/>
      </c>
      <c r="K268" s="16" t="n"/>
      <c r="L268" s="20">
        <f>IF($A268="","",ROUNDUP(MONTH($A268)/3,0))</f>
        <v/>
      </c>
    </row>
    <row r="269">
      <c r="A269" s="33" t="n"/>
      <c r="B269" s="16" t="n"/>
      <c r="C269" s="16" t="n"/>
      <c r="D269" s="16" t="n"/>
      <c r="E269" s="34" t="n"/>
      <c r="F269" s="18" t="n"/>
      <c r="G269" s="35">
        <f>IF($E269="","",$E269*$F269/100)</f>
        <v/>
      </c>
      <c r="H269" s="18" t="n"/>
      <c r="I269" s="35">
        <f>IF($E269="","",$E269*$H269/100)</f>
        <v/>
      </c>
      <c r="J269" s="35">
        <f>IF($E269="","",$E269+$G269-$I269)</f>
        <v/>
      </c>
      <c r="K269" s="16" t="n"/>
      <c r="L269" s="20">
        <f>IF($A269="","",ROUNDUP(MONTH($A269)/3,0))</f>
        <v/>
      </c>
    </row>
    <row r="270">
      <c r="A270" s="33" t="n"/>
      <c r="B270" s="16" t="n"/>
      <c r="C270" s="16" t="n"/>
      <c r="D270" s="16" t="n"/>
      <c r="E270" s="34" t="n"/>
      <c r="F270" s="18" t="n"/>
      <c r="G270" s="35">
        <f>IF($E270="","",$E270*$F270/100)</f>
        <v/>
      </c>
      <c r="H270" s="18" t="n"/>
      <c r="I270" s="35">
        <f>IF($E270="","",$E270*$H270/100)</f>
        <v/>
      </c>
      <c r="J270" s="35">
        <f>IF($E270="","",$E270+$G270-$I270)</f>
        <v/>
      </c>
      <c r="K270" s="16" t="n"/>
      <c r="L270" s="20">
        <f>IF($A270="","",ROUNDUP(MONTH($A270)/3,0))</f>
        <v/>
      </c>
    </row>
    <row r="271">
      <c r="A271" s="33" t="n"/>
      <c r="B271" s="16" t="n"/>
      <c r="C271" s="16" t="n"/>
      <c r="D271" s="16" t="n"/>
      <c r="E271" s="34" t="n"/>
      <c r="F271" s="18" t="n"/>
      <c r="G271" s="35">
        <f>IF($E271="","",$E271*$F271/100)</f>
        <v/>
      </c>
      <c r="H271" s="18" t="n"/>
      <c r="I271" s="35">
        <f>IF($E271="","",$E271*$H271/100)</f>
        <v/>
      </c>
      <c r="J271" s="35">
        <f>IF($E271="","",$E271+$G271-$I271)</f>
        <v/>
      </c>
      <c r="K271" s="16" t="n"/>
      <c r="L271" s="20">
        <f>IF($A271="","",ROUNDUP(MONTH($A271)/3,0))</f>
        <v/>
      </c>
    </row>
    <row r="272">
      <c r="A272" s="33" t="n"/>
      <c r="B272" s="16" t="n"/>
      <c r="C272" s="16" t="n"/>
      <c r="D272" s="16" t="n"/>
      <c r="E272" s="34" t="n"/>
      <c r="F272" s="18" t="n"/>
      <c r="G272" s="35">
        <f>IF($E272="","",$E272*$F272/100)</f>
        <v/>
      </c>
      <c r="H272" s="18" t="n"/>
      <c r="I272" s="35">
        <f>IF($E272="","",$E272*$H272/100)</f>
        <v/>
      </c>
      <c r="J272" s="35">
        <f>IF($E272="","",$E272+$G272-$I272)</f>
        <v/>
      </c>
      <c r="K272" s="16" t="n"/>
      <c r="L272" s="20">
        <f>IF($A272="","",ROUNDUP(MONTH($A272)/3,0))</f>
        <v/>
      </c>
    </row>
    <row r="273">
      <c r="A273" s="33" t="n"/>
      <c r="B273" s="16" t="n"/>
      <c r="C273" s="16" t="n"/>
      <c r="D273" s="16" t="n"/>
      <c r="E273" s="34" t="n"/>
      <c r="F273" s="18" t="n"/>
      <c r="G273" s="35">
        <f>IF($E273="","",$E273*$F273/100)</f>
        <v/>
      </c>
      <c r="H273" s="18" t="n"/>
      <c r="I273" s="35">
        <f>IF($E273="","",$E273*$H273/100)</f>
        <v/>
      </c>
      <c r="J273" s="35">
        <f>IF($E273="","",$E273+$G273-$I273)</f>
        <v/>
      </c>
      <c r="K273" s="16" t="n"/>
      <c r="L273" s="20">
        <f>IF($A273="","",ROUNDUP(MONTH($A273)/3,0))</f>
        <v/>
      </c>
    </row>
    <row r="274">
      <c r="A274" s="33" t="n"/>
      <c r="B274" s="16" t="n"/>
      <c r="C274" s="16" t="n"/>
      <c r="D274" s="16" t="n"/>
      <c r="E274" s="34" t="n"/>
      <c r="F274" s="18" t="n"/>
      <c r="G274" s="35">
        <f>IF($E274="","",$E274*$F274/100)</f>
        <v/>
      </c>
      <c r="H274" s="18" t="n"/>
      <c r="I274" s="35">
        <f>IF($E274="","",$E274*$H274/100)</f>
        <v/>
      </c>
      <c r="J274" s="35">
        <f>IF($E274="","",$E274+$G274-$I274)</f>
        <v/>
      </c>
      <c r="K274" s="16" t="n"/>
      <c r="L274" s="20">
        <f>IF($A274="","",ROUNDUP(MONTH($A274)/3,0))</f>
        <v/>
      </c>
    </row>
    <row r="275">
      <c r="A275" s="33" t="n"/>
      <c r="B275" s="16" t="n"/>
      <c r="C275" s="16" t="n"/>
      <c r="D275" s="16" t="n"/>
      <c r="E275" s="34" t="n"/>
      <c r="F275" s="18" t="n"/>
      <c r="G275" s="35">
        <f>IF($E275="","",$E275*$F275/100)</f>
        <v/>
      </c>
      <c r="H275" s="18" t="n"/>
      <c r="I275" s="35">
        <f>IF($E275="","",$E275*$H275/100)</f>
        <v/>
      </c>
      <c r="J275" s="35">
        <f>IF($E275="","",$E275+$G275-$I275)</f>
        <v/>
      </c>
      <c r="K275" s="16" t="n"/>
      <c r="L275" s="20">
        <f>IF($A275="","",ROUNDUP(MONTH($A275)/3,0))</f>
        <v/>
      </c>
    </row>
    <row r="276">
      <c r="A276" s="33" t="n"/>
      <c r="B276" s="16" t="n"/>
      <c r="C276" s="16" t="n"/>
      <c r="D276" s="16" t="n"/>
      <c r="E276" s="34" t="n"/>
      <c r="F276" s="18" t="n"/>
      <c r="G276" s="35">
        <f>IF($E276="","",$E276*$F276/100)</f>
        <v/>
      </c>
      <c r="H276" s="18" t="n"/>
      <c r="I276" s="35">
        <f>IF($E276="","",$E276*$H276/100)</f>
        <v/>
      </c>
      <c r="J276" s="35">
        <f>IF($E276="","",$E276+$G276-$I276)</f>
        <v/>
      </c>
      <c r="K276" s="16" t="n"/>
      <c r="L276" s="20">
        <f>IF($A276="","",ROUNDUP(MONTH($A276)/3,0))</f>
        <v/>
      </c>
    </row>
    <row r="277">
      <c r="A277" s="33" t="n"/>
      <c r="B277" s="16" t="n"/>
      <c r="C277" s="16" t="n"/>
      <c r="D277" s="16" t="n"/>
      <c r="E277" s="34" t="n"/>
      <c r="F277" s="18" t="n"/>
      <c r="G277" s="35">
        <f>IF($E277="","",$E277*$F277/100)</f>
        <v/>
      </c>
      <c r="H277" s="18" t="n"/>
      <c r="I277" s="35">
        <f>IF($E277="","",$E277*$H277/100)</f>
        <v/>
      </c>
      <c r="J277" s="35">
        <f>IF($E277="","",$E277+$G277-$I277)</f>
        <v/>
      </c>
      <c r="K277" s="16" t="n"/>
      <c r="L277" s="20">
        <f>IF($A277="","",ROUNDUP(MONTH($A277)/3,0))</f>
        <v/>
      </c>
    </row>
    <row r="278">
      <c r="A278" s="33" t="n"/>
      <c r="B278" s="16" t="n"/>
      <c r="C278" s="16" t="n"/>
      <c r="D278" s="16" t="n"/>
      <c r="E278" s="34" t="n"/>
      <c r="F278" s="18" t="n"/>
      <c r="G278" s="35">
        <f>IF($E278="","",$E278*$F278/100)</f>
        <v/>
      </c>
      <c r="H278" s="18" t="n"/>
      <c r="I278" s="35">
        <f>IF($E278="","",$E278*$H278/100)</f>
        <v/>
      </c>
      <c r="J278" s="35">
        <f>IF($E278="","",$E278+$G278-$I278)</f>
        <v/>
      </c>
      <c r="K278" s="16" t="n"/>
      <c r="L278" s="20">
        <f>IF($A278="","",ROUNDUP(MONTH($A278)/3,0))</f>
        <v/>
      </c>
    </row>
    <row r="279">
      <c r="A279" s="33" t="n"/>
      <c r="B279" s="16" t="n"/>
      <c r="C279" s="16" t="n"/>
      <c r="D279" s="16" t="n"/>
      <c r="E279" s="34" t="n"/>
      <c r="F279" s="18" t="n"/>
      <c r="G279" s="35">
        <f>IF($E279="","",$E279*$F279/100)</f>
        <v/>
      </c>
      <c r="H279" s="18" t="n"/>
      <c r="I279" s="35">
        <f>IF($E279="","",$E279*$H279/100)</f>
        <v/>
      </c>
      <c r="J279" s="35">
        <f>IF($E279="","",$E279+$G279-$I279)</f>
        <v/>
      </c>
      <c r="K279" s="16" t="n"/>
      <c r="L279" s="20">
        <f>IF($A279="","",ROUNDUP(MONTH($A279)/3,0))</f>
        <v/>
      </c>
    </row>
    <row r="280">
      <c r="A280" s="33" t="n"/>
      <c r="B280" s="16" t="n"/>
      <c r="C280" s="16" t="n"/>
      <c r="D280" s="16" t="n"/>
      <c r="E280" s="34" t="n"/>
      <c r="F280" s="18" t="n"/>
      <c r="G280" s="35">
        <f>IF($E280="","",$E280*$F280/100)</f>
        <v/>
      </c>
      <c r="H280" s="18" t="n"/>
      <c r="I280" s="35">
        <f>IF($E280="","",$E280*$H280/100)</f>
        <v/>
      </c>
      <c r="J280" s="35">
        <f>IF($E280="","",$E280+$G280-$I280)</f>
        <v/>
      </c>
      <c r="K280" s="16" t="n"/>
      <c r="L280" s="20">
        <f>IF($A280="","",ROUNDUP(MONTH($A280)/3,0))</f>
        <v/>
      </c>
    </row>
    <row r="281">
      <c r="A281" s="33" t="n"/>
      <c r="B281" s="16" t="n"/>
      <c r="C281" s="16" t="n"/>
      <c r="D281" s="16" t="n"/>
      <c r="E281" s="34" t="n"/>
      <c r="F281" s="18" t="n"/>
      <c r="G281" s="35">
        <f>IF($E281="","",$E281*$F281/100)</f>
        <v/>
      </c>
      <c r="H281" s="18" t="n"/>
      <c r="I281" s="35">
        <f>IF($E281="","",$E281*$H281/100)</f>
        <v/>
      </c>
      <c r="J281" s="35">
        <f>IF($E281="","",$E281+$G281-$I281)</f>
        <v/>
      </c>
      <c r="K281" s="16" t="n"/>
      <c r="L281" s="20">
        <f>IF($A281="","",ROUNDUP(MONTH($A281)/3,0))</f>
        <v/>
      </c>
    </row>
    <row r="282">
      <c r="A282" s="33" t="n"/>
      <c r="B282" s="16" t="n"/>
      <c r="C282" s="16" t="n"/>
      <c r="D282" s="16" t="n"/>
      <c r="E282" s="34" t="n"/>
      <c r="F282" s="18" t="n"/>
      <c r="G282" s="35">
        <f>IF($E282="","",$E282*$F282/100)</f>
        <v/>
      </c>
      <c r="H282" s="18" t="n"/>
      <c r="I282" s="35">
        <f>IF($E282="","",$E282*$H282/100)</f>
        <v/>
      </c>
      <c r="J282" s="35">
        <f>IF($E282="","",$E282+$G282-$I282)</f>
        <v/>
      </c>
      <c r="K282" s="16" t="n"/>
      <c r="L282" s="20">
        <f>IF($A282="","",ROUNDUP(MONTH($A282)/3,0))</f>
        <v/>
      </c>
    </row>
    <row r="283">
      <c r="A283" s="33" t="n"/>
      <c r="B283" s="16" t="n"/>
      <c r="C283" s="16" t="n"/>
      <c r="D283" s="16" t="n"/>
      <c r="E283" s="34" t="n"/>
      <c r="F283" s="18" t="n"/>
      <c r="G283" s="35">
        <f>IF($E283="","",$E283*$F283/100)</f>
        <v/>
      </c>
      <c r="H283" s="18" t="n"/>
      <c r="I283" s="35">
        <f>IF($E283="","",$E283*$H283/100)</f>
        <v/>
      </c>
      <c r="J283" s="35">
        <f>IF($E283="","",$E283+$G283-$I283)</f>
        <v/>
      </c>
      <c r="K283" s="16" t="n"/>
      <c r="L283" s="20">
        <f>IF($A283="","",ROUNDUP(MONTH($A283)/3,0))</f>
        <v/>
      </c>
    </row>
    <row r="284">
      <c r="A284" s="33" t="n"/>
      <c r="B284" s="16" t="n"/>
      <c r="C284" s="16" t="n"/>
      <c r="D284" s="16" t="n"/>
      <c r="E284" s="34" t="n"/>
      <c r="F284" s="18" t="n"/>
      <c r="G284" s="35">
        <f>IF($E284="","",$E284*$F284/100)</f>
        <v/>
      </c>
      <c r="H284" s="18" t="n"/>
      <c r="I284" s="35">
        <f>IF($E284="","",$E284*$H284/100)</f>
        <v/>
      </c>
      <c r="J284" s="35">
        <f>IF($E284="","",$E284+$G284-$I284)</f>
        <v/>
      </c>
      <c r="K284" s="16" t="n"/>
      <c r="L284" s="20">
        <f>IF($A284="","",ROUNDUP(MONTH($A284)/3,0))</f>
        <v/>
      </c>
    </row>
    <row r="285">
      <c r="A285" s="33" t="n"/>
      <c r="B285" s="16" t="n"/>
      <c r="C285" s="16" t="n"/>
      <c r="D285" s="16" t="n"/>
      <c r="E285" s="34" t="n"/>
      <c r="F285" s="18" t="n"/>
      <c r="G285" s="35">
        <f>IF($E285="","",$E285*$F285/100)</f>
        <v/>
      </c>
      <c r="H285" s="18" t="n"/>
      <c r="I285" s="35">
        <f>IF($E285="","",$E285*$H285/100)</f>
        <v/>
      </c>
      <c r="J285" s="35">
        <f>IF($E285="","",$E285+$G285-$I285)</f>
        <v/>
      </c>
      <c r="K285" s="16" t="n"/>
      <c r="L285" s="20">
        <f>IF($A285="","",ROUNDUP(MONTH($A285)/3,0))</f>
        <v/>
      </c>
    </row>
    <row r="286">
      <c r="A286" s="33" t="n"/>
      <c r="B286" s="16" t="n"/>
      <c r="C286" s="16" t="n"/>
      <c r="D286" s="16" t="n"/>
      <c r="E286" s="34" t="n"/>
      <c r="F286" s="18" t="n"/>
      <c r="G286" s="35">
        <f>IF($E286="","",$E286*$F286/100)</f>
        <v/>
      </c>
      <c r="H286" s="18" t="n"/>
      <c r="I286" s="35">
        <f>IF($E286="","",$E286*$H286/100)</f>
        <v/>
      </c>
      <c r="J286" s="35">
        <f>IF($E286="","",$E286+$G286-$I286)</f>
        <v/>
      </c>
      <c r="K286" s="16" t="n"/>
      <c r="L286" s="20">
        <f>IF($A286="","",ROUNDUP(MONTH($A286)/3,0))</f>
        <v/>
      </c>
    </row>
    <row r="287">
      <c r="A287" s="33" t="n"/>
      <c r="B287" s="16" t="n"/>
      <c r="C287" s="16" t="n"/>
      <c r="D287" s="16" t="n"/>
      <c r="E287" s="34" t="n"/>
      <c r="F287" s="18" t="n"/>
      <c r="G287" s="35">
        <f>IF($E287="","",$E287*$F287/100)</f>
        <v/>
      </c>
      <c r="H287" s="18" t="n"/>
      <c r="I287" s="35">
        <f>IF($E287="","",$E287*$H287/100)</f>
        <v/>
      </c>
      <c r="J287" s="35">
        <f>IF($E287="","",$E287+$G287-$I287)</f>
        <v/>
      </c>
      <c r="K287" s="16" t="n"/>
      <c r="L287" s="20">
        <f>IF($A287="","",ROUNDUP(MONTH($A287)/3,0))</f>
        <v/>
      </c>
    </row>
    <row r="288">
      <c r="A288" s="33" t="n"/>
      <c r="B288" s="16" t="n"/>
      <c r="C288" s="16" t="n"/>
      <c r="D288" s="16" t="n"/>
      <c r="E288" s="34" t="n"/>
      <c r="F288" s="18" t="n"/>
      <c r="G288" s="35">
        <f>IF($E288="","",$E288*$F288/100)</f>
        <v/>
      </c>
      <c r="H288" s="18" t="n"/>
      <c r="I288" s="35">
        <f>IF($E288="","",$E288*$H288/100)</f>
        <v/>
      </c>
      <c r="J288" s="35">
        <f>IF($E288="","",$E288+$G288-$I288)</f>
        <v/>
      </c>
      <c r="K288" s="16" t="n"/>
      <c r="L288" s="20">
        <f>IF($A288="","",ROUNDUP(MONTH($A288)/3,0))</f>
        <v/>
      </c>
    </row>
    <row r="289">
      <c r="A289" s="33" t="n"/>
      <c r="B289" s="16" t="n"/>
      <c r="C289" s="16" t="n"/>
      <c r="D289" s="16" t="n"/>
      <c r="E289" s="34" t="n"/>
      <c r="F289" s="18" t="n"/>
      <c r="G289" s="35">
        <f>IF($E289="","",$E289*$F289/100)</f>
        <v/>
      </c>
      <c r="H289" s="18" t="n"/>
      <c r="I289" s="35">
        <f>IF($E289="","",$E289*$H289/100)</f>
        <v/>
      </c>
      <c r="J289" s="35">
        <f>IF($E289="","",$E289+$G289-$I289)</f>
        <v/>
      </c>
      <c r="K289" s="16" t="n"/>
      <c r="L289" s="20">
        <f>IF($A289="","",ROUNDUP(MONTH($A289)/3,0))</f>
        <v/>
      </c>
    </row>
    <row r="290">
      <c r="A290" s="33" t="n"/>
      <c r="B290" s="16" t="n"/>
      <c r="C290" s="16" t="n"/>
      <c r="D290" s="16" t="n"/>
      <c r="E290" s="34" t="n"/>
      <c r="F290" s="18" t="n"/>
      <c r="G290" s="35">
        <f>IF($E290="","",$E290*$F290/100)</f>
        <v/>
      </c>
      <c r="H290" s="18" t="n"/>
      <c r="I290" s="35">
        <f>IF($E290="","",$E290*$H290/100)</f>
        <v/>
      </c>
      <c r="J290" s="35">
        <f>IF($E290="","",$E290+$G290-$I290)</f>
        <v/>
      </c>
      <c r="K290" s="16" t="n"/>
      <c r="L290" s="20">
        <f>IF($A290="","",ROUNDUP(MONTH($A290)/3,0))</f>
        <v/>
      </c>
    </row>
    <row r="291">
      <c r="A291" s="33" t="n"/>
      <c r="B291" s="16" t="n"/>
      <c r="C291" s="16" t="n"/>
      <c r="D291" s="16" t="n"/>
      <c r="E291" s="34" t="n"/>
      <c r="F291" s="18" t="n"/>
      <c r="G291" s="35">
        <f>IF($E291="","",$E291*$F291/100)</f>
        <v/>
      </c>
      <c r="H291" s="18" t="n"/>
      <c r="I291" s="35">
        <f>IF($E291="","",$E291*$H291/100)</f>
        <v/>
      </c>
      <c r="J291" s="35">
        <f>IF($E291="","",$E291+$G291-$I291)</f>
        <v/>
      </c>
      <c r="K291" s="16" t="n"/>
      <c r="L291" s="20">
        <f>IF($A291="","",ROUNDUP(MONTH($A291)/3,0))</f>
        <v/>
      </c>
    </row>
    <row r="292">
      <c r="A292" s="33" t="n"/>
      <c r="B292" s="16" t="n"/>
      <c r="C292" s="16" t="n"/>
      <c r="D292" s="16" t="n"/>
      <c r="E292" s="34" t="n"/>
      <c r="F292" s="18" t="n"/>
      <c r="G292" s="35">
        <f>IF($E292="","",$E292*$F292/100)</f>
        <v/>
      </c>
      <c r="H292" s="18" t="n"/>
      <c r="I292" s="35">
        <f>IF($E292="","",$E292*$H292/100)</f>
        <v/>
      </c>
      <c r="J292" s="35">
        <f>IF($E292="","",$E292+$G292-$I292)</f>
        <v/>
      </c>
      <c r="K292" s="16" t="n"/>
      <c r="L292" s="20">
        <f>IF($A292="","",ROUNDUP(MONTH($A292)/3,0))</f>
        <v/>
      </c>
    </row>
    <row r="293">
      <c r="A293" s="33" t="n"/>
      <c r="B293" s="16" t="n"/>
      <c r="C293" s="16" t="n"/>
      <c r="D293" s="16" t="n"/>
      <c r="E293" s="34" t="n"/>
      <c r="F293" s="18" t="n"/>
      <c r="G293" s="35">
        <f>IF($E293="","",$E293*$F293/100)</f>
        <v/>
      </c>
      <c r="H293" s="18" t="n"/>
      <c r="I293" s="35">
        <f>IF($E293="","",$E293*$H293/100)</f>
        <v/>
      </c>
      <c r="J293" s="35">
        <f>IF($E293="","",$E293+$G293-$I293)</f>
        <v/>
      </c>
      <c r="K293" s="16" t="n"/>
      <c r="L293" s="20">
        <f>IF($A293="","",ROUNDUP(MONTH($A293)/3,0))</f>
        <v/>
      </c>
    </row>
    <row r="294">
      <c r="A294" s="33" t="n"/>
      <c r="B294" s="16" t="n"/>
      <c r="C294" s="16" t="n"/>
      <c r="D294" s="16" t="n"/>
      <c r="E294" s="34" t="n"/>
      <c r="F294" s="18" t="n"/>
      <c r="G294" s="35">
        <f>IF($E294="","",$E294*$F294/100)</f>
        <v/>
      </c>
      <c r="H294" s="18" t="n"/>
      <c r="I294" s="35">
        <f>IF($E294="","",$E294*$H294/100)</f>
        <v/>
      </c>
      <c r="J294" s="35">
        <f>IF($E294="","",$E294+$G294-$I294)</f>
        <v/>
      </c>
      <c r="K294" s="16" t="n"/>
      <c r="L294" s="20">
        <f>IF($A294="","",ROUNDUP(MONTH($A294)/3,0))</f>
        <v/>
      </c>
    </row>
    <row r="295">
      <c r="A295" s="33" t="n"/>
      <c r="B295" s="16" t="n"/>
      <c r="C295" s="16" t="n"/>
      <c r="D295" s="16" t="n"/>
      <c r="E295" s="34" t="n"/>
      <c r="F295" s="18" t="n"/>
      <c r="G295" s="35">
        <f>IF($E295="","",$E295*$F295/100)</f>
        <v/>
      </c>
      <c r="H295" s="18" t="n"/>
      <c r="I295" s="35">
        <f>IF($E295="","",$E295*$H295/100)</f>
        <v/>
      </c>
      <c r="J295" s="35">
        <f>IF($E295="","",$E295+$G295-$I295)</f>
        <v/>
      </c>
      <c r="K295" s="16" t="n"/>
      <c r="L295" s="20">
        <f>IF($A295="","",ROUNDUP(MONTH($A295)/3,0))</f>
        <v/>
      </c>
    </row>
    <row r="296">
      <c r="A296" s="33" t="n"/>
      <c r="B296" s="16" t="n"/>
      <c r="C296" s="16" t="n"/>
      <c r="D296" s="16" t="n"/>
      <c r="E296" s="34" t="n"/>
      <c r="F296" s="18" t="n"/>
      <c r="G296" s="35">
        <f>IF($E296="","",$E296*$F296/100)</f>
        <v/>
      </c>
      <c r="H296" s="18" t="n"/>
      <c r="I296" s="35">
        <f>IF($E296="","",$E296*$H296/100)</f>
        <v/>
      </c>
      <c r="J296" s="35">
        <f>IF($E296="","",$E296+$G296-$I296)</f>
        <v/>
      </c>
      <c r="K296" s="16" t="n"/>
      <c r="L296" s="20">
        <f>IF($A296="","",ROUNDUP(MONTH($A296)/3,0))</f>
        <v/>
      </c>
    </row>
    <row r="297">
      <c r="A297" s="33" t="n"/>
      <c r="B297" s="16" t="n"/>
      <c r="C297" s="16" t="n"/>
      <c r="D297" s="16" t="n"/>
      <c r="E297" s="34" t="n"/>
      <c r="F297" s="18" t="n"/>
      <c r="G297" s="35">
        <f>IF($E297="","",$E297*$F297/100)</f>
        <v/>
      </c>
      <c r="H297" s="18" t="n"/>
      <c r="I297" s="35">
        <f>IF($E297="","",$E297*$H297/100)</f>
        <v/>
      </c>
      <c r="J297" s="35">
        <f>IF($E297="","",$E297+$G297-$I297)</f>
        <v/>
      </c>
      <c r="K297" s="16" t="n"/>
      <c r="L297" s="20">
        <f>IF($A297="","",ROUNDUP(MONTH($A297)/3,0))</f>
        <v/>
      </c>
    </row>
    <row r="298">
      <c r="A298" s="33" t="n"/>
      <c r="B298" s="16" t="n"/>
      <c r="C298" s="16" t="n"/>
      <c r="D298" s="16" t="n"/>
      <c r="E298" s="34" t="n"/>
      <c r="F298" s="18" t="n"/>
      <c r="G298" s="35">
        <f>IF($E298="","",$E298*$F298/100)</f>
        <v/>
      </c>
      <c r="H298" s="18" t="n"/>
      <c r="I298" s="35">
        <f>IF($E298="","",$E298*$H298/100)</f>
        <v/>
      </c>
      <c r="J298" s="35">
        <f>IF($E298="","",$E298+$G298-$I298)</f>
        <v/>
      </c>
      <c r="K298" s="16" t="n"/>
      <c r="L298" s="20">
        <f>IF($A298="","",ROUNDUP(MONTH($A298)/3,0))</f>
        <v/>
      </c>
    </row>
    <row r="299">
      <c r="A299" s="33" t="n"/>
      <c r="B299" s="16" t="n"/>
      <c r="C299" s="16" t="n"/>
      <c r="D299" s="16" t="n"/>
      <c r="E299" s="34" t="n"/>
      <c r="F299" s="18" t="n"/>
      <c r="G299" s="35">
        <f>IF($E299="","",$E299*$F299/100)</f>
        <v/>
      </c>
      <c r="H299" s="18" t="n"/>
      <c r="I299" s="35">
        <f>IF($E299="","",$E299*$H299/100)</f>
        <v/>
      </c>
      <c r="J299" s="35">
        <f>IF($E299="","",$E299+$G299-$I299)</f>
        <v/>
      </c>
      <c r="K299" s="16" t="n"/>
      <c r="L299" s="20">
        <f>IF($A299="","",ROUNDUP(MONTH($A299)/3,0))</f>
        <v/>
      </c>
    </row>
    <row r="300">
      <c r="A300" s="33" t="n"/>
      <c r="B300" s="16" t="n"/>
      <c r="C300" s="16" t="n"/>
      <c r="D300" s="16" t="n"/>
      <c r="E300" s="34" t="n"/>
      <c r="F300" s="18" t="n"/>
      <c r="G300" s="35">
        <f>IF($E300="","",$E300*$F300/100)</f>
        <v/>
      </c>
      <c r="H300" s="18" t="n"/>
      <c r="I300" s="35">
        <f>IF($E300="","",$E300*$H300/100)</f>
        <v/>
      </c>
      <c r="J300" s="35">
        <f>IF($E300="","",$E300+$G300-$I300)</f>
        <v/>
      </c>
      <c r="K300" s="16" t="n"/>
      <c r="L300" s="20">
        <f>IF($A300="","",ROUNDUP(MONTH($A300)/3,0))</f>
        <v/>
      </c>
    </row>
    <row r="301">
      <c r="A301" s="33" t="n"/>
      <c r="B301" s="16" t="n"/>
      <c r="C301" s="16" t="n"/>
      <c r="D301" s="16" t="n"/>
      <c r="E301" s="34" t="n"/>
      <c r="F301" s="18" t="n"/>
      <c r="G301" s="35">
        <f>IF($E301="","",$E301*$F301/100)</f>
        <v/>
      </c>
      <c r="H301" s="18" t="n"/>
      <c r="I301" s="35">
        <f>IF($E301="","",$E301*$H301/100)</f>
        <v/>
      </c>
      <c r="J301" s="35">
        <f>IF($E301="","",$E301+$G301-$I301)</f>
        <v/>
      </c>
      <c r="K301" s="16" t="n"/>
      <c r="L301" s="20">
        <f>IF($A301="","",ROUNDUP(MONTH($A301)/3,0))</f>
        <v/>
      </c>
    </row>
    <row r="302">
      <c r="A302" s="33" t="n"/>
      <c r="B302" s="16" t="n"/>
      <c r="C302" s="16" t="n"/>
      <c r="D302" s="16" t="n"/>
      <c r="E302" s="34" t="n"/>
      <c r="F302" s="18" t="n"/>
      <c r="G302" s="35">
        <f>IF($E302="","",$E302*$F302/100)</f>
        <v/>
      </c>
      <c r="H302" s="18" t="n"/>
      <c r="I302" s="35">
        <f>IF($E302="","",$E302*$H302/100)</f>
        <v/>
      </c>
      <c r="J302" s="35">
        <f>IF($E302="","",$E302+$G302-$I302)</f>
        <v/>
      </c>
      <c r="K302" s="16" t="n"/>
      <c r="L302" s="20">
        <f>IF($A302="","",ROUNDUP(MONTH($A302)/3,0))</f>
        <v/>
      </c>
    </row>
    <row r="303">
      <c r="A303" s="33" t="n"/>
      <c r="B303" s="16" t="n"/>
      <c r="C303" s="16" t="n"/>
      <c r="D303" s="16" t="n"/>
      <c r="E303" s="34" t="n"/>
      <c r="F303" s="18" t="n"/>
      <c r="G303" s="35">
        <f>IF($E303="","",$E303*$F303/100)</f>
        <v/>
      </c>
      <c r="H303" s="18" t="n"/>
      <c r="I303" s="35">
        <f>IF($E303="","",$E303*$H303/100)</f>
        <v/>
      </c>
      <c r="J303" s="35">
        <f>IF($E303="","",$E303+$G303-$I303)</f>
        <v/>
      </c>
      <c r="K303" s="16" t="n"/>
      <c r="L303" s="20">
        <f>IF($A303="","",ROUNDUP(MONTH($A303)/3,0))</f>
        <v/>
      </c>
    </row>
    <row r="304">
      <c r="A304" s="33" t="n"/>
      <c r="B304" s="16" t="n"/>
      <c r="C304" s="16" t="n"/>
      <c r="D304" s="16" t="n"/>
      <c r="E304" s="34" t="n"/>
      <c r="F304" s="18" t="n"/>
      <c r="G304" s="35">
        <f>IF($E304="","",$E304*$F304/100)</f>
        <v/>
      </c>
      <c r="H304" s="18" t="n"/>
      <c r="I304" s="35">
        <f>IF($E304="","",$E304*$H304/100)</f>
        <v/>
      </c>
      <c r="J304" s="35">
        <f>IF($E304="","",$E304+$G304-$I304)</f>
        <v/>
      </c>
      <c r="K304" s="16" t="n"/>
      <c r="L304" s="20">
        <f>IF($A304="","",ROUNDUP(MONTH($A304)/3,0))</f>
        <v/>
      </c>
    </row>
    <row r="305">
      <c r="A305" s="33" t="n"/>
      <c r="B305" s="16" t="n"/>
      <c r="C305" s="16" t="n"/>
      <c r="D305" s="16" t="n"/>
      <c r="E305" s="34" t="n"/>
      <c r="F305" s="18" t="n"/>
      <c r="G305" s="35">
        <f>IF($E305="","",$E305*$F305/100)</f>
        <v/>
      </c>
      <c r="H305" s="18" t="n"/>
      <c r="I305" s="35">
        <f>IF($E305="","",$E305*$H305/100)</f>
        <v/>
      </c>
      <c r="J305" s="35">
        <f>IF($E305="","",$E305+$G305-$I305)</f>
        <v/>
      </c>
      <c r="K305" s="16" t="n"/>
      <c r="L305" s="20">
        <f>IF($A305="","",ROUNDUP(MONTH($A305)/3,0))</f>
        <v/>
      </c>
    </row>
    <row r="306">
      <c r="A306" s="33" t="n"/>
      <c r="B306" s="16" t="n"/>
      <c r="C306" s="16" t="n"/>
      <c r="D306" s="16" t="n"/>
      <c r="E306" s="34" t="n"/>
      <c r="F306" s="18" t="n"/>
      <c r="G306" s="35">
        <f>IF($E306="","",$E306*$F306/100)</f>
        <v/>
      </c>
      <c r="H306" s="18" t="n"/>
      <c r="I306" s="35">
        <f>IF($E306="","",$E306*$H306/100)</f>
        <v/>
      </c>
      <c r="J306" s="35">
        <f>IF($E306="","",$E306+$G306-$I306)</f>
        <v/>
      </c>
      <c r="K306" s="16" t="n"/>
      <c r="L306" s="20">
        <f>IF($A306="","",ROUNDUP(MONTH($A306)/3,0))</f>
        <v/>
      </c>
    </row>
    <row r="307">
      <c r="A307" s="33" t="n"/>
      <c r="B307" s="16" t="n"/>
      <c r="C307" s="16" t="n"/>
      <c r="D307" s="16" t="n"/>
      <c r="E307" s="34" t="n"/>
      <c r="F307" s="18" t="n"/>
      <c r="G307" s="35">
        <f>IF($E307="","",$E307*$F307/100)</f>
        <v/>
      </c>
      <c r="H307" s="18" t="n"/>
      <c r="I307" s="35">
        <f>IF($E307="","",$E307*$H307/100)</f>
        <v/>
      </c>
      <c r="J307" s="35">
        <f>IF($E307="","",$E307+$G307-$I307)</f>
        <v/>
      </c>
      <c r="K307" s="16" t="n"/>
      <c r="L307" s="20">
        <f>IF($A307="","",ROUNDUP(MONTH($A307)/3,0))</f>
        <v/>
      </c>
    </row>
    <row r="308">
      <c r="A308" s="33" t="n"/>
      <c r="B308" s="16" t="n"/>
      <c r="C308" s="16" t="n"/>
      <c r="D308" s="16" t="n"/>
      <c r="E308" s="34" t="n"/>
      <c r="F308" s="18" t="n"/>
      <c r="G308" s="35">
        <f>IF($E308="","",$E308*$F308/100)</f>
        <v/>
      </c>
      <c r="H308" s="18" t="n"/>
      <c r="I308" s="35">
        <f>IF($E308="","",$E308*$H308/100)</f>
        <v/>
      </c>
      <c r="J308" s="35">
        <f>IF($E308="","",$E308+$G308-$I308)</f>
        <v/>
      </c>
      <c r="K308" s="16" t="n"/>
      <c r="L308" s="20">
        <f>IF($A308="","",ROUNDUP(MONTH($A308)/3,0))</f>
        <v/>
      </c>
    </row>
    <row r="309">
      <c r="A309" s="33" t="n"/>
      <c r="B309" s="16" t="n"/>
      <c r="C309" s="16" t="n"/>
      <c r="D309" s="16" t="n"/>
      <c r="E309" s="34" t="n"/>
      <c r="F309" s="18" t="n"/>
      <c r="G309" s="35">
        <f>IF($E309="","",$E309*$F309/100)</f>
        <v/>
      </c>
      <c r="H309" s="18" t="n"/>
      <c r="I309" s="35">
        <f>IF($E309="","",$E309*$H309/100)</f>
        <v/>
      </c>
      <c r="J309" s="35">
        <f>IF($E309="","",$E309+$G309-$I309)</f>
        <v/>
      </c>
      <c r="K309" s="16" t="n"/>
      <c r="L309" s="20">
        <f>IF($A309="","",ROUNDUP(MONTH($A309)/3,0))</f>
        <v/>
      </c>
    </row>
    <row r="310">
      <c r="A310" s="33" t="n"/>
      <c r="B310" s="16" t="n"/>
      <c r="C310" s="16" t="n"/>
      <c r="D310" s="16" t="n"/>
      <c r="E310" s="34" t="n"/>
      <c r="F310" s="18" t="n"/>
      <c r="G310" s="35">
        <f>IF($E310="","",$E310*$F310/100)</f>
        <v/>
      </c>
      <c r="H310" s="18" t="n"/>
      <c r="I310" s="35">
        <f>IF($E310="","",$E310*$H310/100)</f>
        <v/>
      </c>
      <c r="J310" s="35">
        <f>IF($E310="","",$E310+$G310-$I310)</f>
        <v/>
      </c>
      <c r="K310" s="16" t="n"/>
      <c r="L310" s="20">
        <f>IF($A310="","",ROUNDUP(MONTH($A310)/3,0))</f>
        <v/>
      </c>
    </row>
    <row r="311">
      <c r="A311" s="33" t="n"/>
      <c r="B311" s="16" t="n"/>
      <c r="C311" s="16" t="n"/>
      <c r="D311" s="16" t="n"/>
      <c r="E311" s="34" t="n"/>
      <c r="F311" s="18" t="n"/>
      <c r="G311" s="35">
        <f>IF($E311="","",$E311*$F311/100)</f>
        <v/>
      </c>
      <c r="H311" s="18" t="n"/>
      <c r="I311" s="35">
        <f>IF($E311="","",$E311*$H311/100)</f>
        <v/>
      </c>
      <c r="J311" s="35">
        <f>IF($E311="","",$E311+$G311-$I311)</f>
        <v/>
      </c>
      <c r="K311" s="16" t="n"/>
      <c r="L311" s="20">
        <f>IF($A311="","",ROUNDUP(MONTH($A311)/3,0))</f>
        <v/>
      </c>
    </row>
    <row r="312">
      <c r="A312" s="33" t="n"/>
      <c r="B312" s="16" t="n"/>
      <c r="C312" s="16" t="n"/>
      <c r="D312" s="16" t="n"/>
      <c r="E312" s="34" t="n"/>
      <c r="F312" s="18" t="n"/>
      <c r="G312" s="35">
        <f>IF($E312="","",$E312*$F312/100)</f>
        <v/>
      </c>
      <c r="H312" s="18" t="n"/>
      <c r="I312" s="35">
        <f>IF($E312="","",$E312*$H312/100)</f>
        <v/>
      </c>
      <c r="J312" s="35">
        <f>IF($E312="","",$E312+$G312-$I312)</f>
        <v/>
      </c>
      <c r="K312" s="16" t="n"/>
      <c r="L312" s="20">
        <f>IF($A312="","",ROUNDUP(MONTH($A312)/3,0))</f>
        <v/>
      </c>
    </row>
    <row r="313">
      <c r="A313" s="33" t="n"/>
      <c r="B313" s="16" t="n"/>
      <c r="C313" s="16" t="n"/>
      <c r="D313" s="16" t="n"/>
      <c r="E313" s="34" t="n"/>
      <c r="F313" s="18" t="n"/>
      <c r="G313" s="35">
        <f>IF($E313="","",$E313*$F313/100)</f>
        <v/>
      </c>
      <c r="H313" s="18" t="n"/>
      <c r="I313" s="35">
        <f>IF($E313="","",$E313*$H313/100)</f>
        <v/>
      </c>
      <c r="J313" s="35">
        <f>IF($E313="","",$E313+$G313-$I313)</f>
        <v/>
      </c>
      <c r="K313" s="16" t="n"/>
      <c r="L313" s="20">
        <f>IF($A313="","",ROUNDUP(MONTH($A313)/3,0))</f>
        <v/>
      </c>
    </row>
    <row r="314">
      <c r="A314" s="33" t="n"/>
      <c r="B314" s="16" t="n"/>
      <c r="C314" s="16" t="n"/>
      <c r="D314" s="16" t="n"/>
      <c r="E314" s="34" t="n"/>
      <c r="F314" s="18" t="n"/>
      <c r="G314" s="35">
        <f>IF($E314="","",$E314*$F314/100)</f>
        <v/>
      </c>
      <c r="H314" s="18" t="n"/>
      <c r="I314" s="35">
        <f>IF($E314="","",$E314*$H314/100)</f>
        <v/>
      </c>
      <c r="J314" s="35">
        <f>IF($E314="","",$E314+$G314-$I314)</f>
        <v/>
      </c>
      <c r="K314" s="16" t="n"/>
      <c r="L314" s="20">
        <f>IF($A314="","",ROUNDUP(MONTH($A314)/3,0))</f>
        <v/>
      </c>
    </row>
    <row r="315">
      <c r="A315" s="33" t="n"/>
      <c r="B315" s="16" t="n"/>
      <c r="C315" s="16" t="n"/>
      <c r="D315" s="16" t="n"/>
      <c r="E315" s="34" t="n"/>
      <c r="F315" s="18" t="n"/>
      <c r="G315" s="35">
        <f>IF($E315="","",$E315*$F315/100)</f>
        <v/>
      </c>
      <c r="H315" s="18" t="n"/>
      <c r="I315" s="35">
        <f>IF($E315="","",$E315*$H315/100)</f>
        <v/>
      </c>
      <c r="J315" s="35">
        <f>IF($E315="","",$E315+$G315-$I315)</f>
        <v/>
      </c>
      <c r="K315" s="16" t="n"/>
      <c r="L315" s="20">
        <f>IF($A315="","",ROUNDUP(MONTH($A315)/3,0))</f>
        <v/>
      </c>
    </row>
    <row r="316">
      <c r="A316" s="33" t="n"/>
      <c r="B316" s="16" t="n"/>
      <c r="C316" s="16" t="n"/>
      <c r="D316" s="16" t="n"/>
      <c r="E316" s="34" t="n"/>
      <c r="F316" s="18" t="n"/>
      <c r="G316" s="35">
        <f>IF($E316="","",$E316*$F316/100)</f>
        <v/>
      </c>
      <c r="H316" s="18" t="n"/>
      <c r="I316" s="35">
        <f>IF($E316="","",$E316*$H316/100)</f>
        <v/>
      </c>
      <c r="J316" s="35">
        <f>IF($E316="","",$E316+$G316-$I316)</f>
        <v/>
      </c>
      <c r="K316" s="16" t="n"/>
      <c r="L316" s="20">
        <f>IF($A316="","",ROUNDUP(MONTH($A316)/3,0))</f>
        <v/>
      </c>
    </row>
    <row r="317">
      <c r="A317" s="33" t="n"/>
      <c r="B317" s="16" t="n"/>
      <c r="C317" s="16" t="n"/>
      <c r="D317" s="16" t="n"/>
      <c r="E317" s="34" t="n"/>
      <c r="F317" s="18" t="n"/>
      <c r="G317" s="35">
        <f>IF($E317="","",$E317*$F317/100)</f>
        <v/>
      </c>
      <c r="H317" s="18" t="n"/>
      <c r="I317" s="35">
        <f>IF($E317="","",$E317*$H317/100)</f>
        <v/>
      </c>
      <c r="J317" s="35">
        <f>IF($E317="","",$E317+$G317-$I317)</f>
        <v/>
      </c>
      <c r="K317" s="16" t="n"/>
      <c r="L317" s="20">
        <f>IF($A317="","",ROUNDUP(MONTH($A317)/3,0))</f>
        <v/>
      </c>
    </row>
    <row r="318">
      <c r="A318" s="33" t="n"/>
      <c r="B318" s="16" t="n"/>
      <c r="C318" s="16" t="n"/>
      <c r="D318" s="16" t="n"/>
      <c r="E318" s="34" t="n"/>
      <c r="F318" s="18" t="n"/>
      <c r="G318" s="35">
        <f>IF($E318="","",$E318*$F318/100)</f>
        <v/>
      </c>
      <c r="H318" s="18" t="n"/>
      <c r="I318" s="35">
        <f>IF($E318="","",$E318*$H318/100)</f>
        <v/>
      </c>
      <c r="J318" s="35">
        <f>IF($E318="","",$E318+$G318-$I318)</f>
        <v/>
      </c>
      <c r="K318" s="16" t="n"/>
      <c r="L318" s="20">
        <f>IF($A318="","",ROUNDUP(MONTH($A318)/3,0))</f>
        <v/>
      </c>
    </row>
    <row r="319">
      <c r="A319" s="33" t="n"/>
      <c r="B319" s="16" t="n"/>
      <c r="C319" s="16" t="n"/>
      <c r="D319" s="16" t="n"/>
      <c r="E319" s="34" t="n"/>
      <c r="F319" s="18" t="n"/>
      <c r="G319" s="35">
        <f>IF($E319="","",$E319*$F319/100)</f>
        <v/>
      </c>
      <c r="H319" s="18" t="n"/>
      <c r="I319" s="35">
        <f>IF($E319="","",$E319*$H319/100)</f>
        <v/>
      </c>
      <c r="J319" s="35">
        <f>IF($E319="","",$E319+$G319-$I319)</f>
        <v/>
      </c>
      <c r="K319" s="16" t="n"/>
      <c r="L319" s="20">
        <f>IF($A319="","",ROUNDUP(MONTH($A319)/3,0))</f>
        <v/>
      </c>
    </row>
    <row r="320">
      <c r="A320" s="33" t="n"/>
      <c r="B320" s="16" t="n"/>
      <c r="C320" s="16" t="n"/>
      <c r="D320" s="16" t="n"/>
      <c r="E320" s="34" t="n"/>
      <c r="F320" s="18" t="n"/>
      <c r="G320" s="35">
        <f>IF($E320="","",$E320*$F320/100)</f>
        <v/>
      </c>
      <c r="H320" s="18" t="n"/>
      <c r="I320" s="35">
        <f>IF($E320="","",$E320*$H320/100)</f>
        <v/>
      </c>
      <c r="J320" s="35">
        <f>IF($E320="","",$E320+$G320-$I320)</f>
        <v/>
      </c>
      <c r="K320" s="16" t="n"/>
      <c r="L320" s="20">
        <f>IF($A320="","",ROUNDUP(MONTH($A320)/3,0))</f>
        <v/>
      </c>
    </row>
    <row r="321">
      <c r="A321" s="33" t="n"/>
      <c r="B321" s="16" t="n"/>
      <c r="C321" s="16" t="n"/>
      <c r="D321" s="16" t="n"/>
      <c r="E321" s="34" t="n"/>
      <c r="F321" s="18" t="n"/>
      <c r="G321" s="35">
        <f>IF($E321="","",$E321*$F321/100)</f>
        <v/>
      </c>
      <c r="H321" s="18" t="n"/>
      <c r="I321" s="35">
        <f>IF($E321="","",$E321*$H321/100)</f>
        <v/>
      </c>
      <c r="J321" s="35">
        <f>IF($E321="","",$E321+$G321-$I321)</f>
        <v/>
      </c>
      <c r="K321" s="16" t="n"/>
      <c r="L321" s="20">
        <f>IF($A321="","",ROUNDUP(MONTH($A321)/3,0))</f>
        <v/>
      </c>
    </row>
    <row r="322">
      <c r="A322" s="33" t="n"/>
      <c r="B322" s="16" t="n"/>
      <c r="C322" s="16" t="n"/>
      <c r="D322" s="16" t="n"/>
      <c r="E322" s="34" t="n"/>
      <c r="F322" s="18" t="n"/>
      <c r="G322" s="35">
        <f>IF($E322="","",$E322*$F322/100)</f>
        <v/>
      </c>
      <c r="H322" s="18" t="n"/>
      <c r="I322" s="35">
        <f>IF($E322="","",$E322*$H322/100)</f>
        <v/>
      </c>
      <c r="J322" s="35">
        <f>IF($E322="","",$E322+$G322-$I322)</f>
        <v/>
      </c>
      <c r="K322" s="16" t="n"/>
      <c r="L322" s="20">
        <f>IF($A322="","",ROUNDUP(MONTH($A322)/3,0))</f>
        <v/>
      </c>
    </row>
    <row r="323">
      <c r="A323" s="33" t="n"/>
      <c r="B323" s="16" t="n"/>
      <c r="C323" s="16" t="n"/>
      <c r="D323" s="16" t="n"/>
      <c r="E323" s="34" t="n"/>
      <c r="F323" s="18" t="n"/>
      <c r="G323" s="35">
        <f>IF($E323="","",$E323*$F323/100)</f>
        <v/>
      </c>
      <c r="H323" s="18" t="n"/>
      <c r="I323" s="35">
        <f>IF($E323="","",$E323*$H323/100)</f>
        <v/>
      </c>
      <c r="J323" s="35">
        <f>IF($E323="","",$E323+$G323-$I323)</f>
        <v/>
      </c>
      <c r="K323" s="16" t="n"/>
      <c r="L323" s="20">
        <f>IF($A323="","",ROUNDUP(MONTH($A323)/3,0))</f>
        <v/>
      </c>
    </row>
    <row r="324">
      <c r="A324" s="33" t="n"/>
      <c r="B324" s="16" t="n"/>
      <c r="C324" s="16" t="n"/>
      <c r="D324" s="16" t="n"/>
      <c r="E324" s="34" t="n"/>
      <c r="F324" s="18" t="n"/>
      <c r="G324" s="35">
        <f>IF($E324="","",$E324*$F324/100)</f>
        <v/>
      </c>
      <c r="H324" s="18" t="n"/>
      <c r="I324" s="35">
        <f>IF($E324="","",$E324*$H324/100)</f>
        <v/>
      </c>
      <c r="J324" s="35">
        <f>IF($E324="","",$E324+$G324-$I324)</f>
        <v/>
      </c>
      <c r="K324" s="16" t="n"/>
      <c r="L324" s="20">
        <f>IF($A324="","",ROUNDUP(MONTH($A324)/3,0))</f>
        <v/>
      </c>
    </row>
    <row r="325">
      <c r="A325" s="33" t="n"/>
      <c r="B325" s="16" t="n"/>
      <c r="C325" s="16" t="n"/>
      <c r="D325" s="16" t="n"/>
      <c r="E325" s="34" t="n"/>
      <c r="F325" s="18" t="n"/>
      <c r="G325" s="35">
        <f>IF($E325="","",$E325*$F325/100)</f>
        <v/>
      </c>
      <c r="H325" s="18" t="n"/>
      <c r="I325" s="35">
        <f>IF($E325="","",$E325*$H325/100)</f>
        <v/>
      </c>
      <c r="J325" s="35">
        <f>IF($E325="","",$E325+$G325-$I325)</f>
        <v/>
      </c>
      <c r="K325" s="16" t="n"/>
      <c r="L325" s="20">
        <f>IF($A325="","",ROUNDUP(MONTH($A325)/3,0))</f>
        <v/>
      </c>
    </row>
    <row r="326">
      <c r="A326" s="33" t="n"/>
      <c r="B326" s="16" t="n"/>
      <c r="C326" s="16" t="n"/>
      <c r="D326" s="16" t="n"/>
      <c r="E326" s="34" t="n"/>
      <c r="F326" s="18" t="n"/>
      <c r="G326" s="35">
        <f>IF($E326="","",$E326*$F326/100)</f>
        <v/>
      </c>
      <c r="H326" s="18" t="n"/>
      <c r="I326" s="35">
        <f>IF($E326="","",$E326*$H326/100)</f>
        <v/>
      </c>
      <c r="J326" s="35">
        <f>IF($E326="","",$E326+$G326-$I326)</f>
        <v/>
      </c>
      <c r="K326" s="16" t="n"/>
      <c r="L326" s="20">
        <f>IF($A326="","",ROUNDUP(MONTH($A326)/3,0))</f>
        <v/>
      </c>
    </row>
    <row r="327">
      <c r="A327" s="33" t="n"/>
      <c r="B327" s="16" t="n"/>
      <c r="C327" s="16" t="n"/>
      <c r="D327" s="16" t="n"/>
      <c r="E327" s="34" t="n"/>
      <c r="F327" s="18" t="n"/>
      <c r="G327" s="35">
        <f>IF($E327="","",$E327*$F327/100)</f>
        <v/>
      </c>
      <c r="H327" s="18" t="n"/>
      <c r="I327" s="35">
        <f>IF($E327="","",$E327*$H327/100)</f>
        <v/>
      </c>
      <c r="J327" s="35">
        <f>IF($E327="","",$E327+$G327-$I327)</f>
        <v/>
      </c>
      <c r="K327" s="16" t="n"/>
      <c r="L327" s="20">
        <f>IF($A327="","",ROUNDUP(MONTH($A327)/3,0))</f>
        <v/>
      </c>
    </row>
    <row r="328">
      <c r="A328" s="33" t="n"/>
      <c r="B328" s="16" t="n"/>
      <c r="C328" s="16" t="n"/>
      <c r="D328" s="16" t="n"/>
      <c r="E328" s="34" t="n"/>
      <c r="F328" s="18" t="n"/>
      <c r="G328" s="35">
        <f>IF($E328="","",$E328*$F328/100)</f>
        <v/>
      </c>
      <c r="H328" s="18" t="n"/>
      <c r="I328" s="35">
        <f>IF($E328="","",$E328*$H328/100)</f>
        <v/>
      </c>
      <c r="J328" s="35">
        <f>IF($E328="","",$E328+$G328-$I328)</f>
        <v/>
      </c>
      <c r="K328" s="16" t="n"/>
      <c r="L328" s="20">
        <f>IF($A328="","",ROUNDUP(MONTH($A328)/3,0))</f>
        <v/>
      </c>
    </row>
    <row r="329">
      <c r="A329" s="33" t="n"/>
      <c r="B329" s="16" t="n"/>
      <c r="C329" s="16" t="n"/>
      <c r="D329" s="16" t="n"/>
      <c r="E329" s="34" t="n"/>
      <c r="F329" s="18" t="n"/>
      <c r="G329" s="35">
        <f>IF($E329="","",$E329*$F329/100)</f>
        <v/>
      </c>
      <c r="H329" s="18" t="n"/>
      <c r="I329" s="35">
        <f>IF($E329="","",$E329*$H329/100)</f>
        <v/>
      </c>
      <c r="J329" s="35">
        <f>IF($E329="","",$E329+$G329-$I329)</f>
        <v/>
      </c>
      <c r="K329" s="16" t="n"/>
      <c r="L329" s="20">
        <f>IF($A329="","",ROUNDUP(MONTH($A329)/3,0))</f>
        <v/>
      </c>
    </row>
    <row r="330">
      <c r="A330" s="33" t="n"/>
      <c r="B330" s="16" t="n"/>
      <c r="C330" s="16" t="n"/>
      <c r="D330" s="16" t="n"/>
      <c r="E330" s="34" t="n"/>
      <c r="F330" s="18" t="n"/>
      <c r="G330" s="35">
        <f>IF($E330="","",$E330*$F330/100)</f>
        <v/>
      </c>
      <c r="H330" s="18" t="n"/>
      <c r="I330" s="35">
        <f>IF($E330="","",$E330*$H330/100)</f>
        <v/>
      </c>
      <c r="J330" s="35">
        <f>IF($E330="","",$E330+$G330-$I330)</f>
        <v/>
      </c>
      <c r="K330" s="16" t="n"/>
      <c r="L330" s="20">
        <f>IF($A330="","",ROUNDUP(MONTH($A330)/3,0))</f>
        <v/>
      </c>
    </row>
    <row r="331">
      <c r="A331" s="33" t="n"/>
      <c r="B331" s="16" t="n"/>
      <c r="C331" s="16" t="n"/>
      <c r="D331" s="16" t="n"/>
      <c r="E331" s="34" t="n"/>
      <c r="F331" s="18" t="n"/>
      <c r="G331" s="35">
        <f>IF($E331="","",$E331*$F331/100)</f>
        <v/>
      </c>
      <c r="H331" s="18" t="n"/>
      <c r="I331" s="35">
        <f>IF($E331="","",$E331*$H331/100)</f>
        <v/>
      </c>
      <c r="J331" s="35">
        <f>IF($E331="","",$E331+$G331-$I331)</f>
        <v/>
      </c>
      <c r="K331" s="16" t="n"/>
      <c r="L331" s="20">
        <f>IF($A331="","",ROUNDUP(MONTH($A331)/3,0))</f>
        <v/>
      </c>
    </row>
    <row r="332">
      <c r="A332" s="33" t="n"/>
      <c r="B332" s="16" t="n"/>
      <c r="C332" s="16" t="n"/>
      <c r="D332" s="16" t="n"/>
      <c r="E332" s="34" t="n"/>
      <c r="F332" s="18" t="n"/>
      <c r="G332" s="35">
        <f>IF($E332="","",$E332*$F332/100)</f>
        <v/>
      </c>
      <c r="H332" s="18" t="n"/>
      <c r="I332" s="35">
        <f>IF($E332="","",$E332*$H332/100)</f>
        <v/>
      </c>
      <c r="J332" s="35">
        <f>IF($E332="","",$E332+$G332-$I332)</f>
        <v/>
      </c>
      <c r="K332" s="16" t="n"/>
      <c r="L332" s="20">
        <f>IF($A332="","",ROUNDUP(MONTH($A332)/3,0))</f>
        <v/>
      </c>
    </row>
    <row r="333">
      <c r="A333" s="33" t="n"/>
      <c r="B333" s="16" t="n"/>
      <c r="C333" s="16" t="n"/>
      <c r="D333" s="16" t="n"/>
      <c r="E333" s="34" t="n"/>
      <c r="F333" s="18" t="n"/>
      <c r="G333" s="35">
        <f>IF($E333="","",$E333*$F333/100)</f>
        <v/>
      </c>
      <c r="H333" s="18" t="n"/>
      <c r="I333" s="35">
        <f>IF($E333="","",$E333*$H333/100)</f>
        <v/>
      </c>
      <c r="J333" s="35">
        <f>IF($E333="","",$E333+$G333-$I333)</f>
        <v/>
      </c>
      <c r="K333" s="16" t="n"/>
      <c r="L333" s="20">
        <f>IF($A333="","",ROUNDUP(MONTH($A333)/3,0))</f>
        <v/>
      </c>
    </row>
    <row r="334">
      <c r="A334" s="33" t="n"/>
      <c r="B334" s="16" t="n"/>
      <c r="C334" s="16" t="n"/>
      <c r="D334" s="16" t="n"/>
      <c r="E334" s="34" t="n"/>
      <c r="F334" s="18" t="n"/>
      <c r="G334" s="35">
        <f>IF($E334="","",$E334*$F334/100)</f>
        <v/>
      </c>
      <c r="H334" s="18" t="n"/>
      <c r="I334" s="35">
        <f>IF($E334="","",$E334*$H334/100)</f>
        <v/>
      </c>
      <c r="J334" s="35">
        <f>IF($E334="","",$E334+$G334-$I334)</f>
        <v/>
      </c>
      <c r="K334" s="16" t="n"/>
      <c r="L334" s="20">
        <f>IF($A334="","",ROUNDUP(MONTH($A334)/3,0))</f>
        <v/>
      </c>
    </row>
    <row r="335">
      <c r="A335" s="33" t="n"/>
      <c r="B335" s="16" t="n"/>
      <c r="C335" s="16" t="n"/>
      <c r="D335" s="16" t="n"/>
      <c r="E335" s="34" t="n"/>
      <c r="F335" s="18" t="n"/>
      <c r="G335" s="35">
        <f>IF($E335="","",$E335*$F335/100)</f>
        <v/>
      </c>
      <c r="H335" s="18" t="n"/>
      <c r="I335" s="35">
        <f>IF($E335="","",$E335*$H335/100)</f>
        <v/>
      </c>
      <c r="J335" s="35">
        <f>IF($E335="","",$E335+$G335-$I335)</f>
        <v/>
      </c>
      <c r="K335" s="16" t="n"/>
      <c r="L335" s="20">
        <f>IF($A335="","",ROUNDUP(MONTH($A335)/3,0))</f>
        <v/>
      </c>
    </row>
    <row r="336">
      <c r="A336" s="33" t="n"/>
      <c r="B336" s="16" t="n"/>
      <c r="C336" s="16" t="n"/>
      <c r="D336" s="16" t="n"/>
      <c r="E336" s="34" t="n"/>
      <c r="F336" s="18" t="n"/>
      <c r="G336" s="35">
        <f>IF($E336="","",$E336*$F336/100)</f>
        <v/>
      </c>
      <c r="H336" s="18" t="n"/>
      <c r="I336" s="35">
        <f>IF($E336="","",$E336*$H336/100)</f>
        <v/>
      </c>
      <c r="J336" s="35">
        <f>IF($E336="","",$E336+$G336-$I336)</f>
        <v/>
      </c>
      <c r="K336" s="16" t="n"/>
      <c r="L336" s="20">
        <f>IF($A336="","",ROUNDUP(MONTH($A336)/3,0))</f>
        <v/>
      </c>
    </row>
    <row r="337">
      <c r="A337" s="33" t="n"/>
      <c r="B337" s="16" t="n"/>
      <c r="C337" s="16" t="n"/>
      <c r="D337" s="16" t="n"/>
      <c r="E337" s="34" t="n"/>
      <c r="F337" s="18" t="n"/>
      <c r="G337" s="35">
        <f>IF($E337="","",$E337*$F337/100)</f>
        <v/>
      </c>
      <c r="H337" s="18" t="n"/>
      <c r="I337" s="35">
        <f>IF($E337="","",$E337*$H337/100)</f>
        <v/>
      </c>
      <c r="J337" s="35">
        <f>IF($E337="","",$E337+$G337-$I337)</f>
        <v/>
      </c>
      <c r="K337" s="16" t="n"/>
      <c r="L337" s="20">
        <f>IF($A337="","",ROUNDUP(MONTH($A337)/3,0))</f>
        <v/>
      </c>
    </row>
    <row r="338">
      <c r="A338" s="33" t="n"/>
      <c r="B338" s="16" t="n"/>
      <c r="C338" s="16" t="n"/>
      <c r="D338" s="16" t="n"/>
      <c r="E338" s="34" t="n"/>
      <c r="F338" s="18" t="n"/>
      <c r="G338" s="35">
        <f>IF($E338="","",$E338*$F338/100)</f>
        <v/>
      </c>
      <c r="H338" s="18" t="n"/>
      <c r="I338" s="35">
        <f>IF($E338="","",$E338*$H338/100)</f>
        <v/>
      </c>
      <c r="J338" s="35">
        <f>IF($E338="","",$E338+$G338-$I338)</f>
        <v/>
      </c>
      <c r="K338" s="16" t="n"/>
      <c r="L338" s="20">
        <f>IF($A338="","",ROUNDUP(MONTH($A338)/3,0))</f>
        <v/>
      </c>
    </row>
    <row r="339">
      <c r="A339" s="33" t="n"/>
      <c r="B339" s="16" t="n"/>
      <c r="C339" s="16" t="n"/>
      <c r="D339" s="16" t="n"/>
      <c r="E339" s="34" t="n"/>
      <c r="F339" s="18" t="n"/>
      <c r="G339" s="35">
        <f>IF($E339="","",$E339*$F339/100)</f>
        <v/>
      </c>
      <c r="H339" s="18" t="n"/>
      <c r="I339" s="35">
        <f>IF($E339="","",$E339*$H339/100)</f>
        <v/>
      </c>
      <c r="J339" s="35">
        <f>IF($E339="","",$E339+$G339-$I339)</f>
        <v/>
      </c>
      <c r="K339" s="16" t="n"/>
      <c r="L339" s="20">
        <f>IF($A339="","",ROUNDUP(MONTH($A339)/3,0))</f>
        <v/>
      </c>
    </row>
    <row r="340">
      <c r="A340" s="33" t="n"/>
      <c r="B340" s="16" t="n"/>
      <c r="C340" s="16" t="n"/>
      <c r="D340" s="16" t="n"/>
      <c r="E340" s="34" t="n"/>
      <c r="F340" s="18" t="n"/>
      <c r="G340" s="35">
        <f>IF($E340="","",$E340*$F340/100)</f>
        <v/>
      </c>
      <c r="H340" s="18" t="n"/>
      <c r="I340" s="35">
        <f>IF($E340="","",$E340*$H340/100)</f>
        <v/>
      </c>
      <c r="J340" s="35">
        <f>IF($E340="","",$E340+$G340-$I340)</f>
        <v/>
      </c>
      <c r="K340" s="16" t="n"/>
      <c r="L340" s="20">
        <f>IF($A340="","",ROUNDUP(MONTH($A340)/3,0))</f>
        <v/>
      </c>
    </row>
    <row r="341">
      <c r="A341" s="33" t="n"/>
      <c r="B341" s="16" t="n"/>
      <c r="C341" s="16" t="n"/>
      <c r="D341" s="16" t="n"/>
      <c r="E341" s="34" t="n"/>
      <c r="F341" s="18" t="n"/>
      <c r="G341" s="35">
        <f>IF($E341="","",$E341*$F341/100)</f>
        <v/>
      </c>
      <c r="H341" s="18" t="n"/>
      <c r="I341" s="35">
        <f>IF($E341="","",$E341*$H341/100)</f>
        <v/>
      </c>
      <c r="J341" s="35">
        <f>IF($E341="","",$E341+$G341-$I341)</f>
        <v/>
      </c>
      <c r="K341" s="16" t="n"/>
      <c r="L341" s="20">
        <f>IF($A341="","",ROUNDUP(MONTH($A341)/3,0))</f>
        <v/>
      </c>
    </row>
    <row r="342">
      <c r="A342" s="33" t="n"/>
      <c r="B342" s="16" t="n"/>
      <c r="C342" s="16" t="n"/>
      <c r="D342" s="16" t="n"/>
      <c r="E342" s="34" t="n"/>
      <c r="F342" s="18" t="n"/>
      <c r="G342" s="35">
        <f>IF($E342="","",$E342*$F342/100)</f>
        <v/>
      </c>
      <c r="H342" s="18" t="n"/>
      <c r="I342" s="35">
        <f>IF($E342="","",$E342*$H342/100)</f>
        <v/>
      </c>
      <c r="J342" s="35">
        <f>IF($E342="","",$E342+$G342-$I342)</f>
        <v/>
      </c>
      <c r="K342" s="16" t="n"/>
      <c r="L342" s="20">
        <f>IF($A342="","",ROUNDUP(MONTH($A342)/3,0))</f>
        <v/>
      </c>
    </row>
    <row r="343">
      <c r="A343" s="33" t="n"/>
      <c r="B343" s="16" t="n"/>
      <c r="C343" s="16" t="n"/>
      <c r="D343" s="16" t="n"/>
      <c r="E343" s="34" t="n"/>
      <c r="F343" s="18" t="n"/>
      <c r="G343" s="35">
        <f>IF($E343="","",$E343*$F343/100)</f>
        <v/>
      </c>
      <c r="H343" s="18" t="n"/>
      <c r="I343" s="35">
        <f>IF($E343="","",$E343*$H343/100)</f>
        <v/>
      </c>
      <c r="J343" s="35">
        <f>IF($E343="","",$E343+$G343-$I343)</f>
        <v/>
      </c>
      <c r="K343" s="16" t="n"/>
      <c r="L343" s="20">
        <f>IF($A343="","",ROUNDUP(MONTH($A343)/3,0))</f>
        <v/>
      </c>
    </row>
    <row r="344">
      <c r="A344" s="33" t="n"/>
      <c r="B344" s="16" t="n"/>
      <c r="C344" s="16" t="n"/>
      <c r="D344" s="16" t="n"/>
      <c r="E344" s="34" t="n"/>
      <c r="F344" s="18" t="n"/>
      <c r="G344" s="35">
        <f>IF($E344="","",$E344*$F344/100)</f>
        <v/>
      </c>
      <c r="H344" s="18" t="n"/>
      <c r="I344" s="35">
        <f>IF($E344="","",$E344*$H344/100)</f>
        <v/>
      </c>
      <c r="J344" s="35">
        <f>IF($E344="","",$E344+$G344-$I344)</f>
        <v/>
      </c>
      <c r="K344" s="16" t="n"/>
      <c r="L344" s="20">
        <f>IF($A344="","",ROUNDUP(MONTH($A344)/3,0))</f>
        <v/>
      </c>
    </row>
    <row r="345">
      <c r="A345" s="33" t="n"/>
      <c r="B345" s="16" t="n"/>
      <c r="C345" s="16" t="n"/>
      <c r="D345" s="16" t="n"/>
      <c r="E345" s="34" t="n"/>
      <c r="F345" s="18" t="n"/>
      <c r="G345" s="35">
        <f>IF($E345="","",$E345*$F345/100)</f>
        <v/>
      </c>
      <c r="H345" s="18" t="n"/>
      <c r="I345" s="35">
        <f>IF($E345="","",$E345*$H345/100)</f>
        <v/>
      </c>
      <c r="J345" s="35">
        <f>IF($E345="","",$E345+$G345-$I345)</f>
        <v/>
      </c>
      <c r="K345" s="16" t="n"/>
      <c r="L345" s="20">
        <f>IF($A345="","",ROUNDUP(MONTH($A345)/3,0))</f>
        <v/>
      </c>
    </row>
    <row r="346">
      <c r="A346" s="33" t="n"/>
      <c r="B346" s="16" t="n"/>
      <c r="C346" s="16" t="n"/>
      <c r="D346" s="16" t="n"/>
      <c r="E346" s="34" t="n"/>
      <c r="F346" s="18" t="n"/>
      <c r="G346" s="35">
        <f>IF($E346="","",$E346*$F346/100)</f>
        <v/>
      </c>
      <c r="H346" s="18" t="n"/>
      <c r="I346" s="35">
        <f>IF($E346="","",$E346*$H346/100)</f>
        <v/>
      </c>
      <c r="J346" s="35">
        <f>IF($E346="","",$E346+$G346-$I346)</f>
        <v/>
      </c>
      <c r="K346" s="16" t="n"/>
      <c r="L346" s="20">
        <f>IF($A346="","",ROUNDUP(MONTH($A346)/3,0))</f>
        <v/>
      </c>
    </row>
    <row r="347">
      <c r="A347" s="33" t="n"/>
      <c r="B347" s="16" t="n"/>
      <c r="C347" s="16" t="n"/>
      <c r="D347" s="16" t="n"/>
      <c r="E347" s="34" t="n"/>
      <c r="F347" s="18" t="n"/>
      <c r="G347" s="35">
        <f>IF($E347="","",$E347*$F347/100)</f>
        <v/>
      </c>
      <c r="H347" s="18" t="n"/>
      <c r="I347" s="35">
        <f>IF($E347="","",$E347*$H347/100)</f>
        <v/>
      </c>
      <c r="J347" s="35">
        <f>IF($E347="","",$E347+$G347-$I347)</f>
        <v/>
      </c>
      <c r="K347" s="16" t="n"/>
      <c r="L347" s="20">
        <f>IF($A347="","",ROUNDUP(MONTH($A347)/3,0))</f>
        <v/>
      </c>
    </row>
    <row r="348">
      <c r="A348" s="33" t="n"/>
      <c r="B348" s="16" t="n"/>
      <c r="C348" s="16" t="n"/>
      <c r="D348" s="16" t="n"/>
      <c r="E348" s="34" t="n"/>
      <c r="F348" s="18" t="n"/>
      <c r="G348" s="35">
        <f>IF($E348="","",$E348*$F348/100)</f>
        <v/>
      </c>
      <c r="H348" s="18" t="n"/>
      <c r="I348" s="35">
        <f>IF($E348="","",$E348*$H348/100)</f>
        <v/>
      </c>
      <c r="J348" s="35">
        <f>IF($E348="","",$E348+$G348-$I348)</f>
        <v/>
      </c>
      <c r="K348" s="16" t="n"/>
      <c r="L348" s="20">
        <f>IF($A348="","",ROUNDUP(MONTH($A348)/3,0))</f>
        <v/>
      </c>
    </row>
    <row r="349">
      <c r="A349" s="33" t="n"/>
      <c r="B349" s="16" t="n"/>
      <c r="C349" s="16" t="n"/>
      <c r="D349" s="16" t="n"/>
      <c r="E349" s="34" t="n"/>
      <c r="F349" s="18" t="n"/>
      <c r="G349" s="35">
        <f>IF($E349="","",$E349*$F349/100)</f>
        <v/>
      </c>
      <c r="H349" s="18" t="n"/>
      <c r="I349" s="35">
        <f>IF($E349="","",$E349*$H349/100)</f>
        <v/>
      </c>
      <c r="J349" s="35">
        <f>IF($E349="","",$E349+$G349-$I349)</f>
        <v/>
      </c>
      <c r="K349" s="16" t="n"/>
      <c r="L349" s="20">
        <f>IF($A349="","",ROUNDUP(MONTH($A349)/3,0))</f>
        <v/>
      </c>
    </row>
    <row r="350">
      <c r="A350" s="33" t="n"/>
      <c r="B350" s="16" t="n"/>
      <c r="C350" s="16" t="n"/>
      <c r="D350" s="16" t="n"/>
      <c r="E350" s="34" t="n"/>
      <c r="F350" s="18" t="n"/>
      <c r="G350" s="35">
        <f>IF($E350="","",$E350*$F350/100)</f>
        <v/>
      </c>
      <c r="H350" s="18" t="n"/>
      <c r="I350" s="35">
        <f>IF($E350="","",$E350*$H350/100)</f>
        <v/>
      </c>
      <c r="J350" s="35">
        <f>IF($E350="","",$E350+$G350-$I350)</f>
        <v/>
      </c>
      <c r="K350" s="16" t="n"/>
      <c r="L350" s="20">
        <f>IF($A350="","",ROUNDUP(MONTH($A350)/3,0))</f>
        <v/>
      </c>
    </row>
    <row r="351">
      <c r="A351" s="33" t="n"/>
      <c r="B351" s="16" t="n"/>
      <c r="C351" s="16" t="n"/>
      <c r="D351" s="16" t="n"/>
      <c r="E351" s="34" t="n"/>
      <c r="F351" s="18" t="n"/>
      <c r="G351" s="35">
        <f>IF($E351="","",$E351*$F351/100)</f>
        <v/>
      </c>
      <c r="H351" s="18" t="n"/>
      <c r="I351" s="35">
        <f>IF($E351="","",$E351*$H351/100)</f>
        <v/>
      </c>
      <c r="J351" s="35">
        <f>IF($E351="","",$E351+$G351-$I351)</f>
        <v/>
      </c>
      <c r="K351" s="16" t="n"/>
      <c r="L351" s="20">
        <f>IF($A351="","",ROUNDUP(MONTH($A351)/3,0))</f>
        <v/>
      </c>
    </row>
    <row r="352">
      <c r="A352" s="33" t="n"/>
      <c r="B352" s="16" t="n"/>
      <c r="C352" s="16" t="n"/>
      <c r="D352" s="16" t="n"/>
      <c r="E352" s="34" t="n"/>
      <c r="F352" s="18" t="n"/>
      <c r="G352" s="35">
        <f>IF($E352="","",$E352*$F352/100)</f>
        <v/>
      </c>
      <c r="H352" s="18" t="n"/>
      <c r="I352" s="35">
        <f>IF($E352="","",$E352*$H352/100)</f>
        <v/>
      </c>
      <c r="J352" s="35">
        <f>IF($E352="","",$E352+$G352-$I352)</f>
        <v/>
      </c>
      <c r="K352" s="16" t="n"/>
      <c r="L352" s="20">
        <f>IF($A352="","",ROUNDUP(MONTH($A352)/3,0))</f>
        <v/>
      </c>
    </row>
    <row r="353">
      <c r="A353" s="33" t="n"/>
      <c r="B353" s="16" t="n"/>
      <c r="C353" s="16" t="n"/>
      <c r="D353" s="16" t="n"/>
      <c r="E353" s="34" t="n"/>
      <c r="F353" s="18" t="n"/>
      <c r="G353" s="35">
        <f>IF($E353="","",$E353*$F353/100)</f>
        <v/>
      </c>
      <c r="H353" s="18" t="n"/>
      <c r="I353" s="35">
        <f>IF($E353="","",$E353*$H353/100)</f>
        <v/>
      </c>
      <c r="J353" s="35">
        <f>IF($E353="","",$E353+$G353-$I353)</f>
        <v/>
      </c>
      <c r="K353" s="16" t="n"/>
      <c r="L353" s="20">
        <f>IF($A353="","",ROUNDUP(MONTH($A353)/3,0))</f>
        <v/>
      </c>
    </row>
    <row r="354">
      <c r="A354" s="33" t="n"/>
      <c r="B354" s="16" t="n"/>
      <c r="C354" s="16" t="n"/>
      <c r="D354" s="16" t="n"/>
      <c r="E354" s="34" t="n"/>
      <c r="F354" s="18" t="n"/>
      <c r="G354" s="35">
        <f>IF($E354="","",$E354*$F354/100)</f>
        <v/>
      </c>
      <c r="H354" s="18" t="n"/>
      <c r="I354" s="35">
        <f>IF($E354="","",$E354*$H354/100)</f>
        <v/>
      </c>
      <c r="J354" s="35">
        <f>IF($E354="","",$E354+$G354-$I354)</f>
        <v/>
      </c>
      <c r="K354" s="16" t="n"/>
      <c r="L354" s="20">
        <f>IF($A354="","",ROUNDUP(MONTH($A354)/3,0))</f>
        <v/>
      </c>
    </row>
    <row r="355">
      <c r="A355" s="33" t="n"/>
      <c r="B355" s="16" t="n"/>
      <c r="C355" s="16" t="n"/>
      <c r="D355" s="16" t="n"/>
      <c r="E355" s="34" t="n"/>
      <c r="F355" s="18" t="n"/>
      <c r="G355" s="35">
        <f>IF($E355="","",$E355*$F355/100)</f>
        <v/>
      </c>
      <c r="H355" s="18" t="n"/>
      <c r="I355" s="35">
        <f>IF($E355="","",$E355*$H355/100)</f>
        <v/>
      </c>
      <c r="J355" s="35">
        <f>IF($E355="","",$E355+$G355-$I355)</f>
        <v/>
      </c>
      <c r="K355" s="16" t="n"/>
      <c r="L355" s="20">
        <f>IF($A355="","",ROUNDUP(MONTH($A355)/3,0))</f>
        <v/>
      </c>
    </row>
    <row r="356">
      <c r="A356" s="33" t="n"/>
      <c r="B356" s="16" t="n"/>
      <c r="C356" s="16" t="n"/>
      <c r="D356" s="16" t="n"/>
      <c r="E356" s="34" t="n"/>
      <c r="F356" s="18" t="n"/>
      <c r="G356" s="35">
        <f>IF($E356="","",$E356*$F356/100)</f>
        <v/>
      </c>
      <c r="H356" s="18" t="n"/>
      <c r="I356" s="35">
        <f>IF($E356="","",$E356*$H356/100)</f>
        <v/>
      </c>
      <c r="J356" s="35">
        <f>IF($E356="","",$E356+$G356-$I356)</f>
        <v/>
      </c>
      <c r="K356" s="16" t="n"/>
      <c r="L356" s="20">
        <f>IF($A356="","",ROUNDUP(MONTH($A356)/3,0))</f>
        <v/>
      </c>
    </row>
    <row r="357">
      <c r="A357" s="33" t="n"/>
      <c r="B357" s="16" t="n"/>
      <c r="C357" s="16" t="n"/>
      <c r="D357" s="16" t="n"/>
      <c r="E357" s="34" t="n"/>
      <c r="F357" s="18" t="n"/>
      <c r="G357" s="35">
        <f>IF($E357="","",$E357*$F357/100)</f>
        <v/>
      </c>
      <c r="H357" s="18" t="n"/>
      <c r="I357" s="35">
        <f>IF($E357="","",$E357*$H357/100)</f>
        <v/>
      </c>
      <c r="J357" s="35">
        <f>IF($E357="","",$E357+$G357-$I357)</f>
        <v/>
      </c>
      <c r="K357" s="16" t="n"/>
      <c r="L357" s="20">
        <f>IF($A357="","",ROUNDUP(MONTH($A357)/3,0))</f>
        <v/>
      </c>
    </row>
    <row r="358">
      <c r="A358" s="33" t="n"/>
      <c r="B358" s="16" t="n"/>
      <c r="C358" s="16" t="n"/>
      <c r="D358" s="16" t="n"/>
      <c r="E358" s="34" t="n"/>
      <c r="F358" s="18" t="n"/>
      <c r="G358" s="35">
        <f>IF($E358="","",$E358*$F358/100)</f>
        <v/>
      </c>
      <c r="H358" s="18" t="n"/>
      <c r="I358" s="35">
        <f>IF($E358="","",$E358*$H358/100)</f>
        <v/>
      </c>
      <c r="J358" s="35">
        <f>IF($E358="","",$E358+$G358-$I358)</f>
        <v/>
      </c>
      <c r="K358" s="16" t="n"/>
      <c r="L358" s="20">
        <f>IF($A358="","",ROUNDUP(MONTH($A358)/3,0))</f>
        <v/>
      </c>
    </row>
    <row r="359">
      <c r="A359" s="33" t="n"/>
      <c r="B359" s="16" t="n"/>
      <c r="C359" s="16" t="n"/>
      <c r="D359" s="16" t="n"/>
      <c r="E359" s="34" t="n"/>
      <c r="F359" s="18" t="n"/>
      <c r="G359" s="35">
        <f>IF($E359="","",$E359*$F359/100)</f>
        <v/>
      </c>
      <c r="H359" s="18" t="n"/>
      <c r="I359" s="35">
        <f>IF($E359="","",$E359*$H359/100)</f>
        <v/>
      </c>
      <c r="J359" s="35">
        <f>IF($E359="","",$E359+$G359-$I359)</f>
        <v/>
      </c>
      <c r="K359" s="16" t="n"/>
      <c r="L359" s="20">
        <f>IF($A359="","",ROUNDUP(MONTH($A359)/3,0))</f>
        <v/>
      </c>
    </row>
    <row r="360">
      <c r="A360" s="33" t="n"/>
      <c r="B360" s="16" t="n"/>
      <c r="C360" s="16" t="n"/>
      <c r="D360" s="16" t="n"/>
      <c r="E360" s="34" t="n"/>
      <c r="F360" s="18" t="n"/>
      <c r="G360" s="35">
        <f>IF($E360="","",$E360*$F360/100)</f>
        <v/>
      </c>
      <c r="H360" s="18" t="n"/>
      <c r="I360" s="35">
        <f>IF($E360="","",$E360*$H360/100)</f>
        <v/>
      </c>
      <c r="J360" s="35">
        <f>IF($E360="","",$E360+$G360-$I360)</f>
        <v/>
      </c>
      <c r="K360" s="16" t="n"/>
      <c r="L360" s="20">
        <f>IF($A360="","",ROUNDUP(MONTH($A360)/3,0))</f>
        <v/>
      </c>
    </row>
    <row r="361">
      <c r="A361" s="33" t="n"/>
      <c r="B361" s="16" t="n"/>
      <c r="C361" s="16" t="n"/>
      <c r="D361" s="16" t="n"/>
      <c r="E361" s="34" t="n"/>
      <c r="F361" s="18" t="n"/>
      <c r="G361" s="35">
        <f>IF($E361="","",$E361*$F361/100)</f>
        <v/>
      </c>
      <c r="H361" s="18" t="n"/>
      <c r="I361" s="35">
        <f>IF($E361="","",$E361*$H361/100)</f>
        <v/>
      </c>
      <c r="J361" s="35">
        <f>IF($E361="","",$E361+$G361-$I361)</f>
        <v/>
      </c>
      <c r="K361" s="16" t="n"/>
      <c r="L361" s="20">
        <f>IF($A361="","",ROUNDUP(MONTH($A361)/3,0))</f>
        <v/>
      </c>
    </row>
    <row r="362">
      <c r="A362" s="33" t="n"/>
      <c r="B362" s="16" t="n"/>
      <c r="C362" s="16" t="n"/>
      <c r="D362" s="16" t="n"/>
      <c r="E362" s="34" t="n"/>
      <c r="F362" s="18" t="n"/>
      <c r="G362" s="35">
        <f>IF($E362="","",$E362*$F362/100)</f>
        <v/>
      </c>
      <c r="H362" s="18" t="n"/>
      <c r="I362" s="35">
        <f>IF($E362="","",$E362*$H362/100)</f>
        <v/>
      </c>
      <c r="J362" s="35">
        <f>IF($E362="","",$E362+$G362-$I362)</f>
        <v/>
      </c>
      <c r="K362" s="16" t="n"/>
      <c r="L362" s="20">
        <f>IF($A362="","",ROUNDUP(MONTH($A362)/3,0))</f>
        <v/>
      </c>
    </row>
    <row r="363">
      <c r="A363" s="33" t="n"/>
      <c r="B363" s="16" t="n"/>
      <c r="C363" s="16" t="n"/>
      <c r="D363" s="16" t="n"/>
      <c r="E363" s="34" t="n"/>
      <c r="F363" s="18" t="n"/>
      <c r="G363" s="35">
        <f>IF($E363="","",$E363*$F363/100)</f>
        <v/>
      </c>
      <c r="H363" s="18" t="n"/>
      <c r="I363" s="35">
        <f>IF($E363="","",$E363*$H363/100)</f>
        <v/>
      </c>
      <c r="J363" s="35">
        <f>IF($E363="","",$E363+$G363-$I363)</f>
        <v/>
      </c>
      <c r="K363" s="16" t="n"/>
      <c r="L363" s="20">
        <f>IF($A363="","",ROUNDUP(MONTH($A363)/3,0))</f>
        <v/>
      </c>
    </row>
    <row r="364">
      <c r="A364" s="33" t="n"/>
      <c r="B364" s="16" t="n"/>
      <c r="C364" s="16" t="n"/>
      <c r="D364" s="16" t="n"/>
      <c r="E364" s="34" t="n"/>
      <c r="F364" s="18" t="n"/>
      <c r="G364" s="35">
        <f>IF($E364="","",$E364*$F364/100)</f>
        <v/>
      </c>
      <c r="H364" s="18" t="n"/>
      <c r="I364" s="35">
        <f>IF($E364="","",$E364*$H364/100)</f>
        <v/>
      </c>
      <c r="J364" s="35">
        <f>IF($E364="","",$E364+$G364-$I364)</f>
        <v/>
      </c>
      <c r="K364" s="16" t="n"/>
      <c r="L364" s="20">
        <f>IF($A364="","",ROUNDUP(MONTH($A364)/3,0))</f>
        <v/>
      </c>
    </row>
    <row r="365">
      <c r="A365" s="33" t="n"/>
      <c r="B365" s="16" t="n"/>
      <c r="C365" s="16" t="n"/>
      <c r="D365" s="16" t="n"/>
      <c r="E365" s="34" t="n"/>
      <c r="F365" s="18" t="n"/>
      <c r="G365" s="35">
        <f>IF($E365="","",$E365*$F365/100)</f>
        <v/>
      </c>
      <c r="H365" s="18" t="n"/>
      <c r="I365" s="35">
        <f>IF($E365="","",$E365*$H365/100)</f>
        <v/>
      </c>
      <c r="J365" s="35">
        <f>IF($E365="","",$E365+$G365-$I365)</f>
        <v/>
      </c>
      <c r="K365" s="16" t="n"/>
      <c r="L365" s="20">
        <f>IF($A365="","",ROUNDUP(MONTH($A365)/3,0))</f>
        <v/>
      </c>
    </row>
    <row r="366">
      <c r="A366" s="33" t="n"/>
      <c r="B366" s="16" t="n"/>
      <c r="C366" s="16" t="n"/>
      <c r="D366" s="16" t="n"/>
      <c r="E366" s="34" t="n"/>
      <c r="F366" s="18" t="n"/>
      <c r="G366" s="35">
        <f>IF($E366="","",$E366*$F366/100)</f>
        <v/>
      </c>
      <c r="H366" s="18" t="n"/>
      <c r="I366" s="35">
        <f>IF($E366="","",$E366*$H366/100)</f>
        <v/>
      </c>
      <c r="J366" s="35">
        <f>IF($E366="","",$E366+$G366-$I366)</f>
        <v/>
      </c>
      <c r="K366" s="16" t="n"/>
      <c r="L366" s="20">
        <f>IF($A366="","",ROUNDUP(MONTH($A366)/3,0))</f>
        <v/>
      </c>
    </row>
    <row r="367">
      <c r="A367" s="33" t="n"/>
      <c r="B367" s="16" t="n"/>
      <c r="C367" s="16" t="n"/>
      <c r="D367" s="16" t="n"/>
      <c r="E367" s="34" t="n"/>
      <c r="F367" s="18" t="n"/>
      <c r="G367" s="35">
        <f>IF($E367="","",$E367*$F367/100)</f>
        <v/>
      </c>
      <c r="H367" s="18" t="n"/>
      <c r="I367" s="35">
        <f>IF($E367="","",$E367*$H367/100)</f>
        <v/>
      </c>
      <c r="J367" s="35">
        <f>IF($E367="","",$E367+$G367-$I367)</f>
        <v/>
      </c>
      <c r="K367" s="16" t="n"/>
      <c r="L367" s="20">
        <f>IF($A367="","",ROUNDUP(MONTH($A367)/3,0))</f>
        <v/>
      </c>
    </row>
    <row r="368">
      <c r="A368" s="33" t="n"/>
      <c r="B368" s="16" t="n"/>
      <c r="C368" s="16" t="n"/>
      <c r="D368" s="16" t="n"/>
      <c r="E368" s="34" t="n"/>
      <c r="F368" s="18" t="n"/>
      <c r="G368" s="35">
        <f>IF($E368="","",$E368*$F368/100)</f>
        <v/>
      </c>
      <c r="H368" s="18" t="n"/>
      <c r="I368" s="35">
        <f>IF($E368="","",$E368*$H368/100)</f>
        <v/>
      </c>
      <c r="J368" s="35">
        <f>IF($E368="","",$E368+$G368-$I368)</f>
        <v/>
      </c>
      <c r="K368" s="16" t="n"/>
      <c r="L368" s="20">
        <f>IF($A368="","",ROUNDUP(MONTH($A368)/3,0))</f>
        <v/>
      </c>
    </row>
    <row r="369">
      <c r="A369" s="33" t="n"/>
      <c r="B369" s="16" t="n"/>
      <c r="C369" s="16" t="n"/>
      <c r="D369" s="16" t="n"/>
      <c r="E369" s="34" t="n"/>
      <c r="F369" s="18" t="n"/>
      <c r="G369" s="35">
        <f>IF($E369="","",$E369*$F369/100)</f>
        <v/>
      </c>
      <c r="H369" s="18" t="n"/>
      <c r="I369" s="35">
        <f>IF($E369="","",$E369*$H369/100)</f>
        <v/>
      </c>
      <c r="J369" s="35">
        <f>IF($E369="","",$E369+$G369-$I369)</f>
        <v/>
      </c>
      <c r="K369" s="16" t="n"/>
      <c r="L369" s="20">
        <f>IF($A369="","",ROUNDUP(MONTH($A369)/3,0))</f>
        <v/>
      </c>
    </row>
    <row r="370">
      <c r="A370" s="33" t="n"/>
      <c r="B370" s="16" t="n"/>
      <c r="C370" s="16" t="n"/>
      <c r="D370" s="16" t="n"/>
      <c r="E370" s="34" t="n"/>
      <c r="F370" s="18" t="n"/>
      <c r="G370" s="35">
        <f>IF($E370="","",$E370*$F370/100)</f>
        <v/>
      </c>
      <c r="H370" s="18" t="n"/>
      <c r="I370" s="35">
        <f>IF($E370="","",$E370*$H370/100)</f>
        <v/>
      </c>
      <c r="J370" s="35">
        <f>IF($E370="","",$E370+$G370-$I370)</f>
        <v/>
      </c>
      <c r="K370" s="16" t="n"/>
      <c r="L370" s="20">
        <f>IF($A370="","",ROUNDUP(MONTH($A370)/3,0))</f>
        <v/>
      </c>
    </row>
    <row r="371">
      <c r="A371" s="33" t="n"/>
      <c r="B371" s="16" t="n"/>
      <c r="C371" s="16" t="n"/>
      <c r="D371" s="16" t="n"/>
      <c r="E371" s="34" t="n"/>
      <c r="F371" s="18" t="n"/>
      <c r="G371" s="35">
        <f>IF($E371="","",$E371*$F371/100)</f>
        <v/>
      </c>
      <c r="H371" s="18" t="n"/>
      <c r="I371" s="35">
        <f>IF($E371="","",$E371*$H371/100)</f>
        <v/>
      </c>
      <c r="J371" s="35">
        <f>IF($E371="","",$E371+$G371-$I371)</f>
        <v/>
      </c>
      <c r="K371" s="16" t="n"/>
      <c r="L371" s="20">
        <f>IF($A371="","",ROUNDUP(MONTH($A371)/3,0))</f>
        <v/>
      </c>
    </row>
    <row r="372">
      <c r="A372" s="33" t="n"/>
      <c r="B372" s="16" t="n"/>
      <c r="C372" s="16" t="n"/>
      <c r="D372" s="16" t="n"/>
      <c r="E372" s="34" t="n"/>
      <c r="F372" s="18" t="n"/>
      <c r="G372" s="35">
        <f>IF($E372="","",$E372*$F372/100)</f>
        <v/>
      </c>
      <c r="H372" s="18" t="n"/>
      <c r="I372" s="35">
        <f>IF($E372="","",$E372*$H372/100)</f>
        <v/>
      </c>
      <c r="J372" s="35">
        <f>IF($E372="","",$E372+$G372-$I372)</f>
        <v/>
      </c>
      <c r="K372" s="16" t="n"/>
      <c r="L372" s="20">
        <f>IF($A372="","",ROUNDUP(MONTH($A372)/3,0))</f>
        <v/>
      </c>
    </row>
    <row r="373">
      <c r="A373" s="33" t="n"/>
      <c r="B373" s="16" t="n"/>
      <c r="C373" s="16" t="n"/>
      <c r="D373" s="16" t="n"/>
      <c r="E373" s="34" t="n"/>
      <c r="F373" s="18" t="n"/>
      <c r="G373" s="35">
        <f>IF($E373="","",$E373*$F373/100)</f>
        <v/>
      </c>
      <c r="H373" s="18" t="n"/>
      <c r="I373" s="35">
        <f>IF($E373="","",$E373*$H373/100)</f>
        <v/>
      </c>
      <c r="J373" s="35">
        <f>IF($E373="","",$E373+$G373-$I373)</f>
        <v/>
      </c>
      <c r="K373" s="16" t="n"/>
      <c r="L373" s="20">
        <f>IF($A373="","",ROUNDUP(MONTH($A373)/3,0))</f>
        <v/>
      </c>
    </row>
    <row r="374">
      <c r="A374" s="33" t="n"/>
      <c r="B374" s="16" t="n"/>
      <c r="C374" s="16" t="n"/>
      <c r="D374" s="16" t="n"/>
      <c r="E374" s="34" t="n"/>
      <c r="F374" s="18" t="n"/>
      <c r="G374" s="35">
        <f>IF($E374="","",$E374*$F374/100)</f>
        <v/>
      </c>
      <c r="H374" s="18" t="n"/>
      <c r="I374" s="35">
        <f>IF($E374="","",$E374*$H374/100)</f>
        <v/>
      </c>
      <c r="J374" s="35">
        <f>IF($E374="","",$E374+$G374-$I374)</f>
        <v/>
      </c>
      <c r="K374" s="16" t="n"/>
      <c r="L374" s="20">
        <f>IF($A374="","",ROUNDUP(MONTH($A374)/3,0))</f>
        <v/>
      </c>
    </row>
    <row r="375">
      <c r="A375" s="33" t="n"/>
      <c r="B375" s="16" t="n"/>
      <c r="C375" s="16" t="n"/>
      <c r="D375" s="16" t="n"/>
      <c r="E375" s="34" t="n"/>
      <c r="F375" s="18" t="n"/>
      <c r="G375" s="35">
        <f>IF($E375="","",$E375*$F375/100)</f>
        <v/>
      </c>
      <c r="H375" s="18" t="n"/>
      <c r="I375" s="35">
        <f>IF($E375="","",$E375*$H375/100)</f>
        <v/>
      </c>
      <c r="J375" s="35">
        <f>IF($E375="","",$E375+$G375-$I375)</f>
        <v/>
      </c>
      <c r="K375" s="16" t="n"/>
      <c r="L375" s="20">
        <f>IF($A375="","",ROUNDUP(MONTH($A375)/3,0))</f>
        <v/>
      </c>
    </row>
    <row r="376">
      <c r="A376" s="33" t="n"/>
      <c r="B376" s="16" t="n"/>
      <c r="C376" s="16" t="n"/>
      <c r="D376" s="16" t="n"/>
      <c r="E376" s="34" t="n"/>
      <c r="F376" s="18" t="n"/>
      <c r="G376" s="35">
        <f>IF($E376="","",$E376*$F376/100)</f>
        <v/>
      </c>
      <c r="H376" s="18" t="n"/>
      <c r="I376" s="35">
        <f>IF($E376="","",$E376*$H376/100)</f>
        <v/>
      </c>
      <c r="J376" s="35">
        <f>IF($E376="","",$E376+$G376-$I376)</f>
        <v/>
      </c>
      <c r="K376" s="16" t="n"/>
      <c r="L376" s="20">
        <f>IF($A376="","",ROUNDUP(MONTH($A376)/3,0))</f>
        <v/>
      </c>
    </row>
    <row r="377">
      <c r="A377" s="33" t="n"/>
      <c r="B377" s="16" t="n"/>
      <c r="C377" s="16" t="n"/>
      <c r="D377" s="16" t="n"/>
      <c r="E377" s="34" t="n"/>
      <c r="F377" s="18" t="n"/>
      <c r="G377" s="35">
        <f>IF($E377="","",$E377*$F377/100)</f>
        <v/>
      </c>
      <c r="H377" s="18" t="n"/>
      <c r="I377" s="35">
        <f>IF($E377="","",$E377*$H377/100)</f>
        <v/>
      </c>
      <c r="J377" s="35">
        <f>IF($E377="","",$E377+$G377-$I377)</f>
        <v/>
      </c>
      <c r="K377" s="16" t="n"/>
      <c r="L377" s="20">
        <f>IF($A377="","",ROUNDUP(MONTH($A377)/3,0))</f>
        <v/>
      </c>
    </row>
    <row r="378">
      <c r="A378" s="33" t="n"/>
      <c r="B378" s="16" t="n"/>
      <c r="C378" s="16" t="n"/>
      <c r="D378" s="16" t="n"/>
      <c r="E378" s="34" t="n"/>
      <c r="F378" s="18" t="n"/>
      <c r="G378" s="35">
        <f>IF($E378="","",$E378*$F378/100)</f>
        <v/>
      </c>
      <c r="H378" s="18" t="n"/>
      <c r="I378" s="35">
        <f>IF($E378="","",$E378*$H378/100)</f>
        <v/>
      </c>
      <c r="J378" s="35">
        <f>IF($E378="","",$E378+$G378-$I378)</f>
        <v/>
      </c>
      <c r="K378" s="16" t="n"/>
      <c r="L378" s="20">
        <f>IF($A378="","",ROUNDUP(MONTH($A378)/3,0))</f>
        <v/>
      </c>
    </row>
    <row r="379">
      <c r="A379" s="33" t="n"/>
      <c r="B379" s="16" t="n"/>
      <c r="C379" s="16" t="n"/>
      <c r="D379" s="16" t="n"/>
      <c r="E379" s="34" t="n"/>
      <c r="F379" s="18" t="n"/>
      <c r="G379" s="35">
        <f>IF($E379="","",$E379*$F379/100)</f>
        <v/>
      </c>
      <c r="H379" s="18" t="n"/>
      <c r="I379" s="35">
        <f>IF($E379="","",$E379*$H379/100)</f>
        <v/>
      </c>
      <c r="J379" s="35">
        <f>IF($E379="","",$E379+$G379-$I379)</f>
        <v/>
      </c>
      <c r="K379" s="16" t="n"/>
      <c r="L379" s="20">
        <f>IF($A379="","",ROUNDUP(MONTH($A379)/3,0))</f>
        <v/>
      </c>
    </row>
    <row r="380">
      <c r="A380" s="33" t="n"/>
      <c r="B380" s="16" t="n"/>
      <c r="C380" s="16" t="n"/>
      <c r="D380" s="16" t="n"/>
      <c r="E380" s="34" t="n"/>
      <c r="F380" s="18" t="n"/>
      <c r="G380" s="35">
        <f>IF($E380="","",$E380*$F380/100)</f>
        <v/>
      </c>
      <c r="H380" s="18" t="n"/>
      <c r="I380" s="35">
        <f>IF($E380="","",$E380*$H380/100)</f>
        <v/>
      </c>
      <c r="J380" s="35">
        <f>IF($E380="","",$E380+$G380-$I380)</f>
        <v/>
      </c>
      <c r="K380" s="16" t="n"/>
      <c r="L380" s="20">
        <f>IF($A380="","",ROUNDUP(MONTH($A380)/3,0))</f>
        <v/>
      </c>
    </row>
    <row r="381">
      <c r="A381" s="33" t="n"/>
      <c r="B381" s="16" t="n"/>
      <c r="C381" s="16" t="n"/>
      <c r="D381" s="16" t="n"/>
      <c r="E381" s="34" t="n"/>
      <c r="F381" s="18" t="n"/>
      <c r="G381" s="35">
        <f>IF($E381="","",$E381*$F381/100)</f>
        <v/>
      </c>
      <c r="H381" s="18" t="n"/>
      <c r="I381" s="35">
        <f>IF($E381="","",$E381*$H381/100)</f>
        <v/>
      </c>
      <c r="J381" s="35">
        <f>IF($E381="","",$E381+$G381-$I381)</f>
        <v/>
      </c>
      <c r="K381" s="16" t="n"/>
      <c r="L381" s="20">
        <f>IF($A381="","",ROUNDUP(MONTH($A381)/3,0))</f>
        <v/>
      </c>
    </row>
    <row r="382">
      <c r="A382" s="33" t="n"/>
      <c r="B382" s="16" t="n"/>
      <c r="C382" s="16" t="n"/>
      <c r="D382" s="16" t="n"/>
      <c r="E382" s="34" t="n"/>
      <c r="F382" s="18" t="n"/>
      <c r="G382" s="35">
        <f>IF($E382="","",$E382*$F382/100)</f>
        <v/>
      </c>
      <c r="H382" s="18" t="n"/>
      <c r="I382" s="35">
        <f>IF($E382="","",$E382*$H382/100)</f>
        <v/>
      </c>
      <c r="J382" s="35">
        <f>IF($E382="","",$E382+$G382-$I382)</f>
        <v/>
      </c>
      <c r="K382" s="16" t="n"/>
      <c r="L382" s="20">
        <f>IF($A382="","",ROUNDUP(MONTH($A382)/3,0))</f>
        <v/>
      </c>
    </row>
    <row r="383">
      <c r="A383" s="33" t="n"/>
      <c r="B383" s="16" t="n"/>
      <c r="C383" s="16" t="n"/>
      <c r="D383" s="16" t="n"/>
      <c r="E383" s="34" t="n"/>
      <c r="F383" s="18" t="n"/>
      <c r="G383" s="35">
        <f>IF($E383="","",$E383*$F383/100)</f>
        <v/>
      </c>
      <c r="H383" s="18" t="n"/>
      <c r="I383" s="35">
        <f>IF($E383="","",$E383*$H383/100)</f>
        <v/>
      </c>
      <c r="J383" s="35">
        <f>IF($E383="","",$E383+$G383-$I383)</f>
        <v/>
      </c>
      <c r="K383" s="16" t="n"/>
      <c r="L383" s="20">
        <f>IF($A383="","",ROUNDUP(MONTH($A383)/3,0))</f>
        <v/>
      </c>
    </row>
    <row r="384">
      <c r="A384" s="33" t="n"/>
      <c r="B384" s="16" t="n"/>
      <c r="C384" s="16" t="n"/>
      <c r="D384" s="16" t="n"/>
      <c r="E384" s="34" t="n"/>
      <c r="F384" s="18" t="n"/>
      <c r="G384" s="35">
        <f>IF($E384="","",$E384*$F384/100)</f>
        <v/>
      </c>
      <c r="H384" s="18" t="n"/>
      <c r="I384" s="35">
        <f>IF($E384="","",$E384*$H384/100)</f>
        <v/>
      </c>
      <c r="J384" s="35">
        <f>IF($E384="","",$E384+$G384-$I384)</f>
        <v/>
      </c>
      <c r="K384" s="16" t="n"/>
      <c r="L384" s="20">
        <f>IF($A384="","",ROUNDUP(MONTH($A384)/3,0))</f>
        <v/>
      </c>
    </row>
    <row r="385">
      <c r="A385" s="33" t="n"/>
      <c r="B385" s="16" t="n"/>
      <c r="C385" s="16" t="n"/>
      <c r="D385" s="16" t="n"/>
      <c r="E385" s="34" t="n"/>
      <c r="F385" s="18" t="n"/>
      <c r="G385" s="35">
        <f>IF($E385="","",$E385*$F385/100)</f>
        <v/>
      </c>
      <c r="H385" s="18" t="n"/>
      <c r="I385" s="35">
        <f>IF($E385="","",$E385*$H385/100)</f>
        <v/>
      </c>
      <c r="J385" s="35">
        <f>IF($E385="","",$E385+$G385-$I385)</f>
        <v/>
      </c>
      <c r="K385" s="16" t="n"/>
      <c r="L385" s="20">
        <f>IF($A385="","",ROUNDUP(MONTH($A385)/3,0))</f>
        <v/>
      </c>
    </row>
    <row r="386">
      <c r="A386" s="33" t="n"/>
      <c r="B386" s="16" t="n"/>
      <c r="C386" s="16" t="n"/>
      <c r="D386" s="16" t="n"/>
      <c r="E386" s="34" t="n"/>
      <c r="F386" s="18" t="n"/>
      <c r="G386" s="35">
        <f>IF($E386="","",$E386*$F386/100)</f>
        <v/>
      </c>
      <c r="H386" s="18" t="n"/>
      <c r="I386" s="35">
        <f>IF($E386="","",$E386*$H386/100)</f>
        <v/>
      </c>
      <c r="J386" s="35">
        <f>IF($E386="","",$E386+$G386-$I386)</f>
        <v/>
      </c>
      <c r="K386" s="16" t="n"/>
      <c r="L386" s="20">
        <f>IF($A386="","",ROUNDUP(MONTH($A386)/3,0))</f>
        <v/>
      </c>
    </row>
    <row r="387">
      <c r="A387" s="33" t="n"/>
      <c r="B387" s="16" t="n"/>
      <c r="C387" s="16" t="n"/>
      <c r="D387" s="16" t="n"/>
      <c r="E387" s="34" t="n"/>
      <c r="F387" s="18" t="n"/>
      <c r="G387" s="35">
        <f>IF($E387="","",$E387*$F387/100)</f>
        <v/>
      </c>
      <c r="H387" s="18" t="n"/>
      <c r="I387" s="35">
        <f>IF($E387="","",$E387*$H387/100)</f>
        <v/>
      </c>
      <c r="J387" s="35">
        <f>IF($E387="","",$E387+$G387-$I387)</f>
        <v/>
      </c>
      <c r="K387" s="16" t="n"/>
      <c r="L387" s="20">
        <f>IF($A387="","",ROUNDUP(MONTH($A387)/3,0))</f>
        <v/>
      </c>
    </row>
    <row r="388">
      <c r="A388" s="33" t="n"/>
      <c r="B388" s="16" t="n"/>
      <c r="C388" s="16" t="n"/>
      <c r="D388" s="16" t="n"/>
      <c r="E388" s="34" t="n"/>
      <c r="F388" s="18" t="n"/>
      <c r="G388" s="35">
        <f>IF($E388="","",$E388*$F388/100)</f>
        <v/>
      </c>
      <c r="H388" s="18" t="n"/>
      <c r="I388" s="35">
        <f>IF($E388="","",$E388*$H388/100)</f>
        <v/>
      </c>
      <c r="J388" s="35">
        <f>IF($E388="","",$E388+$G388-$I388)</f>
        <v/>
      </c>
      <c r="K388" s="16" t="n"/>
      <c r="L388" s="20">
        <f>IF($A388="","",ROUNDUP(MONTH($A388)/3,0))</f>
        <v/>
      </c>
    </row>
    <row r="389">
      <c r="A389" s="33" t="n"/>
      <c r="B389" s="16" t="n"/>
      <c r="C389" s="16" t="n"/>
      <c r="D389" s="16" t="n"/>
      <c r="E389" s="34" t="n"/>
      <c r="F389" s="18" t="n"/>
      <c r="G389" s="35">
        <f>IF($E389="","",$E389*$F389/100)</f>
        <v/>
      </c>
      <c r="H389" s="18" t="n"/>
      <c r="I389" s="35">
        <f>IF($E389="","",$E389*$H389/100)</f>
        <v/>
      </c>
      <c r="J389" s="35">
        <f>IF($E389="","",$E389+$G389-$I389)</f>
        <v/>
      </c>
      <c r="K389" s="16" t="n"/>
      <c r="L389" s="20">
        <f>IF($A389="","",ROUNDUP(MONTH($A389)/3,0))</f>
        <v/>
      </c>
    </row>
    <row r="390">
      <c r="A390" s="33" t="n"/>
      <c r="B390" s="16" t="n"/>
      <c r="C390" s="16" t="n"/>
      <c r="D390" s="16" t="n"/>
      <c r="E390" s="34" t="n"/>
      <c r="F390" s="18" t="n"/>
      <c r="G390" s="35">
        <f>IF($E390="","",$E390*$F390/100)</f>
        <v/>
      </c>
      <c r="H390" s="18" t="n"/>
      <c r="I390" s="35">
        <f>IF($E390="","",$E390*$H390/100)</f>
        <v/>
      </c>
      <c r="J390" s="35">
        <f>IF($E390="","",$E390+$G390-$I390)</f>
        <v/>
      </c>
      <c r="K390" s="16" t="n"/>
      <c r="L390" s="20">
        <f>IF($A390="","",ROUNDUP(MONTH($A390)/3,0))</f>
        <v/>
      </c>
    </row>
    <row r="391">
      <c r="A391" s="33" t="n"/>
      <c r="B391" s="16" t="n"/>
      <c r="C391" s="16" t="n"/>
      <c r="D391" s="16" t="n"/>
      <c r="E391" s="34" t="n"/>
      <c r="F391" s="18" t="n"/>
      <c r="G391" s="35">
        <f>IF($E391="","",$E391*$F391/100)</f>
        <v/>
      </c>
      <c r="H391" s="18" t="n"/>
      <c r="I391" s="35">
        <f>IF($E391="","",$E391*$H391/100)</f>
        <v/>
      </c>
      <c r="J391" s="35">
        <f>IF($E391="","",$E391+$G391-$I391)</f>
        <v/>
      </c>
      <c r="K391" s="16" t="n"/>
      <c r="L391" s="20">
        <f>IF($A391="","",ROUNDUP(MONTH($A391)/3,0))</f>
        <v/>
      </c>
    </row>
    <row r="392">
      <c r="A392" s="33" t="n"/>
      <c r="B392" s="16" t="n"/>
      <c r="C392" s="16" t="n"/>
      <c r="D392" s="16" t="n"/>
      <c r="E392" s="34" t="n"/>
      <c r="F392" s="18" t="n"/>
      <c r="G392" s="35">
        <f>IF($E392="","",$E392*$F392/100)</f>
        <v/>
      </c>
      <c r="H392" s="18" t="n"/>
      <c r="I392" s="35">
        <f>IF($E392="","",$E392*$H392/100)</f>
        <v/>
      </c>
      <c r="J392" s="35">
        <f>IF($E392="","",$E392+$G392-$I392)</f>
        <v/>
      </c>
      <c r="K392" s="16" t="n"/>
      <c r="L392" s="20">
        <f>IF($A392="","",ROUNDUP(MONTH($A392)/3,0))</f>
        <v/>
      </c>
    </row>
    <row r="393">
      <c r="A393" s="33" t="n"/>
      <c r="B393" s="16" t="n"/>
      <c r="C393" s="16" t="n"/>
      <c r="D393" s="16" t="n"/>
      <c r="E393" s="34" t="n"/>
      <c r="F393" s="18" t="n"/>
      <c r="G393" s="35">
        <f>IF($E393="","",$E393*$F393/100)</f>
        <v/>
      </c>
      <c r="H393" s="18" t="n"/>
      <c r="I393" s="35">
        <f>IF($E393="","",$E393*$H393/100)</f>
        <v/>
      </c>
      <c r="J393" s="35">
        <f>IF($E393="","",$E393+$G393-$I393)</f>
        <v/>
      </c>
      <c r="K393" s="16" t="n"/>
      <c r="L393" s="20">
        <f>IF($A393="","",ROUNDUP(MONTH($A393)/3,0))</f>
        <v/>
      </c>
    </row>
    <row r="394">
      <c r="A394" s="33" t="n"/>
      <c r="B394" s="16" t="n"/>
      <c r="C394" s="16" t="n"/>
      <c r="D394" s="16" t="n"/>
      <c r="E394" s="34" t="n"/>
      <c r="F394" s="18" t="n"/>
      <c r="G394" s="35">
        <f>IF($E394="","",$E394*$F394/100)</f>
        <v/>
      </c>
      <c r="H394" s="18" t="n"/>
      <c r="I394" s="35">
        <f>IF($E394="","",$E394*$H394/100)</f>
        <v/>
      </c>
      <c r="J394" s="35">
        <f>IF($E394="","",$E394+$G394-$I394)</f>
        <v/>
      </c>
      <c r="K394" s="16" t="n"/>
      <c r="L394" s="20">
        <f>IF($A394="","",ROUNDUP(MONTH($A394)/3,0))</f>
        <v/>
      </c>
    </row>
    <row r="395">
      <c r="A395" s="33" t="n"/>
      <c r="B395" s="16" t="n"/>
      <c r="C395" s="16" t="n"/>
      <c r="D395" s="16" t="n"/>
      <c r="E395" s="34" t="n"/>
      <c r="F395" s="18" t="n"/>
      <c r="G395" s="35">
        <f>IF($E395="","",$E395*$F395/100)</f>
        <v/>
      </c>
      <c r="H395" s="18" t="n"/>
      <c r="I395" s="35">
        <f>IF($E395="","",$E395*$H395/100)</f>
        <v/>
      </c>
      <c r="J395" s="35">
        <f>IF($E395="","",$E395+$G395-$I395)</f>
        <v/>
      </c>
      <c r="K395" s="16" t="n"/>
      <c r="L395" s="20">
        <f>IF($A395="","",ROUNDUP(MONTH($A395)/3,0))</f>
        <v/>
      </c>
    </row>
    <row r="396">
      <c r="A396" s="33" t="n"/>
      <c r="B396" s="16" t="n"/>
      <c r="C396" s="16" t="n"/>
      <c r="D396" s="16" t="n"/>
      <c r="E396" s="34" t="n"/>
      <c r="F396" s="18" t="n"/>
      <c r="G396" s="35">
        <f>IF($E396="","",$E396*$F396/100)</f>
        <v/>
      </c>
      <c r="H396" s="18" t="n"/>
      <c r="I396" s="35">
        <f>IF($E396="","",$E396*$H396/100)</f>
        <v/>
      </c>
      <c r="J396" s="35">
        <f>IF($E396="","",$E396+$G396-$I396)</f>
        <v/>
      </c>
      <c r="K396" s="16" t="n"/>
      <c r="L396" s="20">
        <f>IF($A396="","",ROUNDUP(MONTH($A396)/3,0))</f>
        <v/>
      </c>
    </row>
    <row r="397">
      <c r="A397" s="33" t="n"/>
      <c r="B397" s="16" t="n"/>
      <c r="C397" s="16" t="n"/>
      <c r="D397" s="16" t="n"/>
      <c r="E397" s="34" t="n"/>
      <c r="F397" s="18" t="n"/>
      <c r="G397" s="35">
        <f>IF($E397="","",$E397*$F397/100)</f>
        <v/>
      </c>
      <c r="H397" s="18" t="n"/>
      <c r="I397" s="35">
        <f>IF($E397="","",$E397*$H397/100)</f>
        <v/>
      </c>
      <c r="J397" s="35">
        <f>IF($E397="","",$E397+$G397-$I397)</f>
        <v/>
      </c>
      <c r="K397" s="16" t="n"/>
      <c r="L397" s="20">
        <f>IF($A397="","",ROUNDUP(MONTH($A397)/3,0))</f>
        <v/>
      </c>
    </row>
    <row r="398">
      <c r="A398" s="33" t="n"/>
      <c r="B398" s="16" t="n"/>
      <c r="C398" s="16" t="n"/>
      <c r="D398" s="16" t="n"/>
      <c r="E398" s="34" t="n"/>
      <c r="F398" s="18" t="n"/>
      <c r="G398" s="35">
        <f>IF($E398="","",$E398*$F398/100)</f>
        <v/>
      </c>
      <c r="H398" s="18" t="n"/>
      <c r="I398" s="35">
        <f>IF($E398="","",$E398*$H398/100)</f>
        <v/>
      </c>
      <c r="J398" s="35">
        <f>IF($E398="","",$E398+$G398-$I398)</f>
        <v/>
      </c>
      <c r="K398" s="16" t="n"/>
      <c r="L398" s="20">
        <f>IF($A398="","",ROUNDUP(MONTH($A398)/3,0))</f>
        <v/>
      </c>
    </row>
    <row r="399">
      <c r="A399" s="33" t="n"/>
      <c r="B399" s="16" t="n"/>
      <c r="C399" s="16" t="n"/>
      <c r="D399" s="16" t="n"/>
      <c r="E399" s="34" t="n"/>
      <c r="F399" s="18" t="n"/>
      <c r="G399" s="35">
        <f>IF($E399="","",$E399*$F399/100)</f>
        <v/>
      </c>
      <c r="H399" s="18" t="n"/>
      <c r="I399" s="35">
        <f>IF($E399="","",$E399*$H399/100)</f>
        <v/>
      </c>
      <c r="J399" s="35">
        <f>IF($E399="","",$E399+$G399-$I399)</f>
        <v/>
      </c>
      <c r="K399" s="16" t="n"/>
      <c r="L399" s="20">
        <f>IF($A399="","",ROUNDUP(MONTH($A399)/3,0))</f>
        <v/>
      </c>
    </row>
    <row r="400">
      <c r="A400" s="33" t="n"/>
      <c r="B400" s="16" t="n"/>
      <c r="C400" s="16" t="n"/>
      <c r="D400" s="16" t="n"/>
      <c r="E400" s="34" t="n"/>
      <c r="F400" s="18" t="n"/>
      <c r="G400" s="35">
        <f>IF($E400="","",$E400*$F400/100)</f>
        <v/>
      </c>
      <c r="H400" s="18" t="n"/>
      <c r="I400" s="35">
        <f>IF($E400="","",$E400*$H400/100)</f>
        <v/>
      </c>
      <c r="J400" s="35">
        <f>IF($E400="","",$E400+$G400-$I400)</f>
        <v/>
      </c>
      <c r="K400" s="16" t="n"/>
      <c r="L400" s="20">
        <f>IF($A400="","",ROUNDUP(MONTH($A400)/3,0))</f>
        <v/>
      </c>
    </row>
    <row r="401">
      <c r="A401" s="33" t="n"/>
      <c r="B401" s="16" t="n"/>
      <c r="C401" s="16" t="n"/>
      <c r="D401" s="16" t="n"/>
      <c r="E401" s="34" t="n"/>
      <c r="F401" s="18" t="n"/>
      <c r="G401" s="35">
        <f>IF($E401="","",$E401*$F401/100)</f>
        <v/>
      </c>
      <c r="H401" s="18" t="n"/>
      <c r="I401" s="35">
        <f>IF($E401="","",$E401*$H401/100)</f>
        <v/>
      </c>
      <c r="J401" s="35">
        <f>IF($E401="","",$E401+$G401-$I401)</f>
        <v/>
      </c>
      <c r="K401" s="16" t="n"/>
      <c r="L401" s="20">
        <f>IF($A401="","",ROUNDUP(MONTH($A401)/3,0))</f>
        <v/>
      </c>
    </row>
    <row r="402">
      <c r="A402" s="33" t="n"/>
      <c r="B402" s="16" t="n"/>
      <c r="C402" s="16" t="n"/>
      <c r="D402" s="16" t="n"/>
      <c r="E402" s="34" t="n"/>
      <c r="F402" s="18" t="n"/>
      <c r="G402" s="35">
        <f>IF($E402="","",$E402*$F402/100)</f>
        <v/>
      </c>
      <c r="H402" s="18" t="n"/>
      <c r="I402" s="35">
        <f>IF($E402="","",$E402*$H402/100)</f>
        <v/>
      </c>
      <c r="J402" s="35">
        <f>IF($E402="","",$E402+$G402-$I402)</f>
        <v/>
      </c>
      <c r="K402" s="16" t="n"/>
      <c r="L402" s="20">
        <f>IF($A402="","",ROUNDUP(MONTH($A402)/3,0))</f>
        <v/>
      </c>
    </row>
    <row r="403">
      <c r="A403" s="33" t="n"/>
      <c r="B403" s="16" t="n"/>
      <c r="C403" s="16" t="n"/>
      <c r="D403" s="16" t="n"/>
      <c r="E403" s="34" t="n"/>
      <c r="F403" s="18" t="n"/>
      <c r="G403" s="35">
        <f>IF($E403="","",$E403*$F403/100)</f>
        <v/>
      </c>
      <c r="H403" s="18" t="n"/>
      <c r="I403" s="35">
        <f>IF($E403="","",$E403*$H403/100)</f>
        <v/>
      </c>
      <c r="J403" s="35">
        <f>IF($E403="","",$E403+$G403-$I403)</f>
        <v/>
      </c>
      <c r="K403" s="16" t="n"/>
      <c r="L403" s="20">
        <f>IF($A403="","",ROUNDUP(MONTH($A403)/3,0))</f>
        <v/>
      </c>
    </row>
    <row r="404">
      <c r="A404" s="33" t="n"/>
      <c r="B404" s="16" t="n"/>
      <c r="C404" s="16" t="n"/>
      <c r="D404" s="16" t="n"/>
      <c r="E404" s="34" t="n"/>
      <c r="F404" s="18" t="n"/>
      <c r="G404" s="35">
        <f>IF($E404="","",$E404*$F404/100)</f>
        <v/>
      </c>
      <c r="H404" s="18" t="n"/>
      <c r="I404" s="35">
        <f>IF($E404="","",$E404*$H404/100)</f>
        <v/>
      </c>
      <c r="J404" s="35">
        <f>IF($E404="","",$E404+$G404-$I404)</f>
        <v/>
      </c>
      <c r="K404" s="16" t="n"/>
      <c r="L404" s="20">
        <f>IF($A404="","",ROUNDUP(MONTH($A404)/3,0))</f>
        <v/>
      </c>
    </row>
    <row r="405">
      <c r="A405" s="33" t="n"/>
      <c r="B405" s="16" t="n"/>
      <c r="C405" s="16" t="n"/>
      <c r="D405" s="16" t="n"/>
      <c r="E405" s="34" t="n"/>
      <c r="F405" s="18" t="n"/>
      <c r="G405" s="35">
        <f>IF($E405="","",$E405*$F405/100)</f>
        <v/>
      </c>
      <c r="H405" s="18" t="n"/>
      <c r="I405" s="35">
        <f>IF($E405="","",$E405*$H405/100)</f>
        <v/>
      </c>
      <c r="J405" s="35">
        <f>IF($E405="","",$E405+$G405-$I405)</f>
        <v/>
      </c>
      <c r="K405" s="16" t="n"/>
      <c r="L405" s="20">
        <f>IF($A405="","",ROUNDUP(MONTH($A405)/3,0))</f>
        <v/>
      </c>
    </row>
    <row r="406">
      <c r="A406" s="33" t="n"/>
      <c r="B406" s="16" t="n"/>
      <c r="C406" s="16" t="n"/>
      <c r="D406" s="16" t="n"/>
      <c r="E406" s="34" t="n"/>
      <c r="F406" s="18" t="n"/>
      <c r="G406" s="35">
        <f>IF($E406="","",$E406*$F406/100)</f>
        <v/>
      </c>
      <c r="H406" s="18" t="n"/>
      <c r="I406" s="35">
        <f>IF($E406="","",$E406*$H406/100)</f>
        <v/>
      </c>
      <c r="J406" s="35">
        <f>IF($E406="","",$E406+$G406-$I406)</f>
        <v/>
      </c>
      <c r="K406" s="16" t="n"/>
      <c r="L406" s="20">
        <f>IF($A406="","",ROUNDUP(MONTH($A406)/3,0))</f>
        <v/>
      </c>
    </row>
    <row r="407">
      <c r="A407" s="33" t="n"/>
      <c r="B407" s="16" t="n"/>
      <c r="C407" s="16" t="n"/>
      <c r="D407" s="16" t="n"/>
      <c r="E407" s="34" t="n"/>
      <c r="F407" s="18" t="n"/>
      <c r="G407" s="35">
        <f>IF($E407="","",$E407*$F407/100)</f>
        <v/>
      </c>
      <c r="H407" s="18" t="n"/>
      <c r="I407" s="35">
        <f>IF($E407="","",$E407*$H407/100)</f>
        <v/>
      </c>
      <c r="J407" s="35">
        <f>IF($E407="","",$E407+$G407-$I407)</f>
        <v/>
      </c>
      <c r="K407" s="16" t="n"/>
      <c r="L407" s="20">
        <f>IF($A407="","",ROUNDUP(MONTH($A407)/3,0))</f>
        <v/>
      </c>
    </row>
    <row r="408">
      <c r="A408" s="33" t="n"/>
      <c r="B408" s="16" t="n"/>
      <c r="C408" s="16" t="n"/>
      <c r="D408" s="16" t="n"/>
      <c r="E408" s="34" t="n"/>
      <c r="F408" s="18" t="n"/>
      <c r="G408" s="35">
        <f>IF($E408="","",$E408*$F408/100)</f>
        <v/>
      </c>
      <c r="H408" s="18" t="n"/>
      <c r="I408" s="35">
        <f>IF($E408="","",$E408*$H408/100)</f>
        <v/>
      </c>
      <c r="J408" s="35">
        <f>IF($E408="","",$E408+$G408-$I408)</f>
        <v/>
      </c>
      <c r="K408" s="16" t="n"/>
      <c r="L408" s="20">
        <f>IF($A408="","",ROUNDUP(MONTH($A408)/3,0))</f>
        <v/>
      </c>
    </row>
    <row r="409">
      <c r="A409" s="33" t="n"/>
      <c r="B409" s="16" t="n"/>
      <c r="C409" s="16" t="n"/>
      <c r="D409" s="16" t="n"/>
      <c r="E409" s="34" t="n"/>
      <c r="F409" s="18" t="n"/>
      <c r="G409" s="35">
        <f>IF($E409="","",$E409*$F409/100)</f>
        <v/>
      </c>
      <c r="H409" s="18" t="n"/>
      <c r="I409" s="35">
        <f>IF($E409="","",$E409*$H409/100)</f>
        <v/>
      </c>
      <c r="J409" s="35">
        <f>IF($E409="","",$E409+$G409-$I409)</f>
        <v/>
      </c>
      <c r="K409" s="16" t="n"/>
      <c r="L409" s="20">
        <f>IF($A409="","",ROUNDUP(MONTH($A409)/3,0))</f>
        <v/>
      </c>
    </row>
    <row r="410">
      <c r="A410" s="33" t="n"/>
      <c r="B410" s="16" t="n"/>
      <c r="C410" s="16" t="n"/>
      <c r="D410" s="16" t="n"/>
      <c r="E410" s="34" t="n"/>
      <c r="F410" s="18" t="n"/>
      <c r="G410" s="35">
        <f>IF($E410="","",$E410*$F410/100)</f>
        <v/>
      </c>
      <c r="H410" s="18" t="n"/>
      <c r="I410" s="35">
        <f>IF($E410="","",$E410*$H410/100)</f>
        <v/>
      </c>
      <c r="J410" s="35">
        <f>IF($E410="","",$E410+$G410-$I410)</f>
        <v/>
      </c>
      <c r="K410" s="16" t="n"/>
      <c r="L410" s="20">
        <f>IF($A410="","",ROUNDUP(MONTH($A410)/3,0))</f>
        <v/>
      </c>
    </row>
    <row r="411">
      <c r="A411" s="33" t="n"/>
      <c r="B411" s="16" t="n"/>
      <c r="C411" s="16" t="n"/>
      <c r="D411" s="16" t="n"/>
      <c r="E411" s="34" t="n"/>
      <c r="F411" s="18" t="n"/>
      <c r="G411" s="35">
        <f>IF($E411="","",$E411*$F411/100)</f>
        <v/>
      </c>
      <c r="H411" s="18" t="n"/>
      <c r="I411" s="35">
        <f>IF($E411="","",$E411*$H411/100)</f>
        <v/>
      </c>
      <c r="J411" s="35">
        <f>IF($E411="","",$E411+$G411-$I411)</f>
        <v/>
      </c>
      <c r="K411" s="16" t="n"/>
      <c r="L411" s="20">
        <f>IF($A411="","",ROUNDUP(MONTH($A411)/3,0))</f>
        <v/>
      </c>
    </row>
    <row r="412">
      <c r="A412" s="33" t="n"/>
      <c r="B412" s="16" t="n"/>
      <c r="C412" s="16" t="n"/>
      <c r="D412" s="16" t="n"/>
      <c r="E412" s="34" t="n"/>
      <c r="F412" s="18" t="n"/>
      <c r="G412" s="35">
        <f>IF($E412="","",$E412*$F412/100)</f>
        <v/>
      </c>
      <c r="H412" s="18" t="n"/>
      <c r="I412" s="35">
        <f>IF($E412="","",$E412*$H412/100)</f>
        <v/>
      </c>
      <c r="J412" s="35">
        <f>IF($E412="","",$E412+$G412-$I412)</f>
        <v/>
      </c>
      <c r="K412" s="16" t="n"/>
      <c r="L412" s="20">
        <f>IF($A412="","",ROUNDUP(MONTH($A412)/3,0))</f>
        <v/>
      </c>
    </row>
    <row r="413">
      <c r="A413" s="33" t="n"/>
      <c r="B413" s="16" t="n"/>
      <c r="C413" s="16" t="n"/>
      <c r="D413" s="16" t="n"/>
      <c r="E413" s="34" t="n"/>
      <c r="F413" s="18" t="n"/>
      <c r="G413" s="35">
        <f>IF($E413="","",$E413*$F413/100)</f>
        <v/>
      </c>
      <c r="H413" s="18" t="n"/>
      <c r="I413" s="35">
        <f>IF($E413="","",$E413*$H413/100)</f>
        <v/>
      </c>
      <c r="J413" s="35">
        <f>IF($E413="","",$E413+$G413-$I413)</f>
        <v/>
      </c>
      <c r="K413" s="16" t="n"/>
      <c r="L413" s="20">
        <f>IF($A413="","",ROUNDUP(MONTH($A413)/3,0))</f>
        <v/>
      </c>
    </row>
    <row r="414">
      <c r="A414" s="33" t="n"/>
      <c r="B414" s="16" t="n"/>
      <c r="C414" s="16" t="n"/>
      <c r="D414" s="16" t="n"/>
      <c r="E414" s="34" t="n"/>
      <c r="F414" s="18" t="n"/>
      <c r="G414" s="35">
        <f>IF($E414="","",$E414*$F414/100)</f>
        <v/>
      </c>
      <c r="H414" s="18" t="n"/>
      <c r="I414" s="35">
        <f>IF($E414="","",$E414*$H414/100)</f>
        <v/>
      </c>
      <c r="J414" s="35">
        <f>IF($E414="","",$E414+$G414-$I414)</f>
        <v/>
      </c>
      <c r="K414" s="16" t="n"/>
      <c r="L414" s="20">
        <f>IF($A414="","",ROUNDUP(MONTH($A414)/3,0))</f>
        <v/>
      </c>
    </row>
    <row r="415">
      <c r="A415" s="33" t="n"/>
      <c r="B415" s="16" t="n"/>
      <c r="C415" s="16" t="n"/>
      <c r="D415" s="16" t="n"/>
      <c r="E415" s="34" t="n"/>
      <c r="F415" s="18" t="n"/>
      <c r="G415" s="35">
        <f>IF($E415="","",$E415*$F415/100)</f>
        <v/>
      </c>
      <c r="H415" s="18" t="n"/>
      <c r="I415" s="35">
        <f>IF($E415="","",$E415*$H415/100)</f>
        <v/>
      </c>
      <c r="J415" s="35">
        <f>IF($E415="","",$E415+$G415-$I415)</f>
        <v/>
      </c>
      <c r="K415" s="16" t="n"/>
      <c r="L415" s="20">
        <f>IF($A415="","",ROUNDUP(MONTH($A415)/3,0))</f>
        <v/>
      </c>
    </row>
    <row r="416">
      <c r="A416" s="33" t="n"/>
      <c r="B416" s="16" t="n"/>
      <c r="C416" s="16" t="n"/>
      <c r="D416" s="16" t="n"/>
      <c r="E416" s="34" t="n"/>
      <c r="F416" s="18" t="n"/>
      <c r="G416" s="35">
        <f>IF($E416="","",$E416*$F416/100)</f>
        <v/>
      </c>
      <c r="H416" s="18" t="n"/>
      <c r="I416" s="35">
        <f>IF($E416="","",$E416*$H416/100)</f>
        <v/>
      </c>
      <c r="J416" s="35">
        <f>IF($E416="","",$E416+$G416-$I416)</f>
        <v/>
      </c>
      <c r="K416" s="16" t="n"/>
      <c r="L416" s="20">
        <f>IF($A416="","",ROUNDUP(MONTH($A416)/3,0))</f>
        <v/>
      </c>
    </row>
    <row r="417">
      <c r="A417" s="33" t="n"/>
      <c r="B417" s="16" t="n"/>
      <c r="C417" s="16" t="n"/>
      <c r="D417" s="16" t="n"/>
      <c r="E417" s="34" t="n"/>
      <c r="F417" s="18" t="n"/>
      <c r="G417" s="35">
        <f>IF($E417="","",$E417*$F417/100)</f>
        <v/>
      </c>
      <c r="H417" s="18" t="n"/>
      <c r="I417" s="35">
        <f>IF($E417="","",$E417*$H417/100)</f>
        <v/>
      </c>
      <c r="J417" s="35">
        <f>IF($E417="","",$E417+$G417-$I417)</f>
        <v/>
      </c>
      <c r="K417" s="16" t="n"/>
      <c r="L417" s="20">
        <f>IF($A417="","",ROUNDUP(MONTH($A417)/3,0))</f>
        <v/>
      </c>
    </row>
    <row r="418">
      <c r="A418" s="33" t="n"/>
      <c r="B418" s="16" t="n"/>
      <c r="C418" s="16" t="n"/>
      <c r="D418" s="16" t="n"/>
      <c r="E418" s="34" t="n"/>
      <c r="F418" s="18" t="n"/>
      <c r="G418" s="35">
        <f>IF($E418="","",$E418*$F418/100)</f>
        <v/>
      </c>
      <c r="H418" s="18" t="n"/>
      <c r="I418" s="35">
        <f>IF($E418="","",$E418*$H418/100)</f>
        <v/>
      </c>
      <c r="J418" s="35">
        <f>IF($E418="","",$E418+$G418-$I418)</f>
        <v/>
      </c>
      <c r="K418" s="16" t="n"/>
      <c r="L418" s="20">
        <f>IF($A418="","",ROUNDUP(MONTH($A418)/3,0))</f>
        <v/>
      </c>
    </row>
    <row r="419">
      <c r="A419" s="33" t="n"/>
      <c r="B419" s="16" t="n"/>
      <c r="C419" s="16" t="n"/>
      <c r="D419" s="16" t="n"/>
      <c r="E419" s="34" t="n"/>
      <c r="F419" s="18" t="n"/>
      <c r="G419" s="35">
        <f>IF($E419="","",$E419*$F419/100)</f>
        <v/>
      </c>
      <c r="H419" s="18" t="n"/>
      <c r="I419" s="35">
        <f>IF($E419="","",$E419*$H419/100)</f>
        <v/>
      </c>
      <c r="J419" s="35">
        <f>IF($E419="","",$E419+$G419-$I419)</f>
        <v/>
      </c>
      <c r="K419" s="16" t="n"/>
      <c r="L419" s="20">
        <f>IF($A419="","",ROUNDUP(MONTH($A419)/3,0))</f>
        <v/>
      </c>
    </row>
    <row r="420">
      <c r="A420" s="33" t="n"/>
      <c r="B420" s="16" t="n"/>
      <c r="C420" s="16" t="n"/>
      <c r="D420" s="16" t="n"/>
      <c r="E420" s="34" t="n"/>
      <c r="F420" s="18" t="n"/>
      <c r="G420" s="35">
        <f>IF($E420="","",$E420*$F420/100)</f>
        <v/>
      </c>
      <c r="H420" s="18" t="n"/>
      <c r="I420" s="35">
        <f>IF($E420="","",$E420*$H420/100)</f>
        <v/>
      </c>
      <c r="J420" s="35">
        <f>IF($E420="","",$E420+$G420-$I420)</f>
        <v/>
      </c>
      <c r="K420" s="16" t="n"/>
      <c r="L420" s="20">
        <f>IF($A420="","",ROUNDUP(MONTH($A420)/3,0))</f>
        <v/>
      </c>
    </row>
    <row r="421">
      <c r="A421" s="33" t="n"/>
      <c r="B421" s="16" t="n"/>
      <c r="C421" s="16" t="n"/>
      <c r="D421" s="16" t="n"/>
      <c r="E421" s="34" t="n"/>
      <c r="F421" s="18" t="n"/>
      <c r="G421" s="35">
        <f>IF($E421="","",$E421*$F421/100)</f>
        <v/>
      </c>
      <c r="H421" s="18" t="n"/>
      <c r="I421" s="35">
        <f>IF($E421="","",$E421*$H421/100)</f>
        <v/>
      </c>
      <c r="J421" s="35">
        <f>IF($E421="","",$E421+$G421-$I421)</f>
        <v/>
      </c>
      <c r="K421" s="16" t="n"/>
      <c r="L421" s="20">
        <f>IF($A421="","",ROUNDUP(MONTH($A421)/3,0))</f>
        <v/>
      </c>
    </row>
    <row r="422">
      <c r="A422" s="33" t="n"/>
      <c r="B422" s="16" t="n"/>
      <c r="C422" s="16" t="n"/>
      <c r="D422" s="16" t="n"/>
      <c r="E422" s="34" t="n"/>
      <c r="F422" s="18" t="n"/>
      <c r="G422" s="35">
        <f>IF($E422="","",$E422*$F422/100)</f>
        <v/>
      </c>
      <c r="H422" s="18" t="n"/>
      <c r="I422" s="35">
        <f>IF($E422="","",$E422*$H422/100)</f>
        <v/>
      </c>
      <c r="J422" s="35">
        <f>IF($E422="","",$E422+$G422-$I422)</f>
        <v/>
      </c>
      <c r="K422" s="16" t="n"/>
      <c r="L422" s="20">
        <f>IF($A422="","",ROUNDUP(MONTH($A422)/3,0))</f>
        <v/>
      </c>
    </row>
    <row r="423">
      <c r="A423" s="33" t="n"/>
      <c r="B423" s="16" t="n"/>
      <c r="C423" s="16" t="n"/>
      <c r="D423" s="16" t="n"/>
      <c r="E423" s="34" t="n"/>
      <c r="F423" s="18" t="n"/>
      <c r="G423" s="35">
        <f>IF($E423="","",$E423*$F423/100)</f>
        <v/>
      </c>
      <c r="H423" s="18" t="n"/>
      <c r="I423" s="35">
        <f>IF($E423="","",$E423*$H423/100)</f>
        <v/>
      </c>
      <c r="J423" s="35">
        <f>IF($E423="","",$E423+$G423-$I423)</f>
        <v/>
      </c>
      <c r="K423" s="16" t="n"/>
      <c r="L423" s="20">
        <f>IF($A423="","",ROUNDUP(MONTH($A423)/3,0))</f>
        <v/>
      </c>
    </row>
    <row r="424">
      <c r="A424" s="33" t="n"/>
      <c r="B424" s="16" t="n"/>
      <c r="C424" s="16" t="n"/>
      <c r="D424" s="16" t="n"/>
      <c r="E424" s="34" t="n"/>
      <c r="F424" s="18" t="n"/>
      <c r="G424" s="35">
        <f>IF($E424="","",$E424*$F424/100)</f>
        <v/>
      </c>
      <c r="H424" s="18" t="n"/>
      <c r="I424" s="35">
        <f>IF($E424="","",$E424*$H424/100)</f>
        <v/>
      </c>
      <c r="J424" s="35">
        <f>IF($E424="","",$E424+$G424-$I424)</f>
        <v/>
      </c>
      <c r="K424" s="16" t="n"/>
      <c r="L424" s="20">
        <f>IF($A424="","",ROUNDUP(MONTH($A424)/3,0))</f>
        <v/>
      </c>
    </row>
    <row r="425">
      <c r="A425" s="33" t="n"/>
      <c r="B425" s="16" t="n"/>
      <c r="C425" s="16" t="n"/>
      <c r="D425" s="16" t="n"/>
      <c r="E425" s="34" t="n"/>
      <c r="F425" s="18" t="n"/>
      <c r="G425" s="35">
        <f>IF($E425="","",$E425*$F425/100)</f>
        <v/>
      </c>
      <c r="H425" s="18" t="n"/>
      <c r="I425" s="35">
        <f>IF($E425="","",$E425*$H425/100)</f>
        <v/>
      </c>
      <c r="J425" s="35">
        <f>IF($E425="","",$E425+$G425-$I425)</f>
        <v/>
      </c>
      <c r="K425" s="16" t="n"/>
      <c r="L425" s="20">
        <f>IF($A425="","",ROUNDUP(MONTH($A425)/3,0))</f>
        <v/>
      </c>
    </row>
    <row r="426">
      <c r="A426" s="33" t="n"/>
      <c r="B426" s="16" t="n"/>
      <c r="C426" s="16" t="n"/>
      <c r="D426" s="16" t="n"/>
      <c r="E426" s="34" t="n"/>
      <c r="F426" s="18" t="n"/>
      <c r="G426" s="35">
        <f>IF($E426="","",$E426*$F426/100)</f>
        <v/>
      </c>
      <c r="H426" s="18" t="n"/>
      <c r="I426" s="35">
        <f>IF($E426="","",$E426*$H426/100)</f>
        <v/>
      </c>
      <c r="J426" s="35">
        <f>IF($E426="","",$E426+$G426-$I426)</f>
        <v/>
      </c>
      <c r="K426" s="16" t="n"/>
      <c r="L426" s="20">
        <f>IF($A426="","",ROUNDUP(MONTH($A426)/3,0))</f>
        <v/>
      </c>
    </row>
    <row r="427">
      <c r="A427" s="33" t="n"/>
      <c r="B427" s="16" t="n"/>
      <c r="C427" s="16" t="n"/>
      <c r="D427" s="16" t="n"/>
      <c r="E427" s="34" t="n"/>
      <c r="F427" s="18" t="n"/>
      <c r="G427" s="35">
        <f>IF($E427="","",$E427*$F427/100)</f>
        <v/>
      </c>
      <c r="H427" s="18" t="n"/>
      <c r="I427" s="35">
        <f>IF($E427="","",$E427*$H427/100)</f>
        <v/>
      </c>
      <c r="J427" s="35">
        <f>IF($E427="","",$E427+$G427-$I427)</f>
        <v/>
      </c>
      <c r="K427" s="16" t="n"/>
      <c r="L427" s="20">
        <f>IF($A427="","",ROUNDUP(MONTH($A427)/3,0))</f>
        <v/>
      </c>
    </row>
    <row r="428">
      <c r="A428" s="33" t="n"/>
      <c r="B428" s="16" t="n"/>
      <c r="C428" s="16" t="n"/>
      <c r="D428" s="16" t="n"/>
      <c r="E428" s="34" t="n"/>
      <c r="F428" s="18" t="n"/>
      <c r="G428" s="35">
        <f>IF($E428="","",$E428*$F428/100)</f>
        <v/>
      </c>
      <c r="H428" s="18" t="n"/>
      <c r="I428" s="35">
        <f>IF($E428="","",$E428*$H428/100)</f>
        <v/>
      </c>
      <c r="J428" s="35">
        <f>IF($E428="","",$E428+$G428-$I428)</f>
        <v/>
      </c>
      <c r="K428" s="16" t="n"/>
      <c r="L428" s="20">
        <f>IF($A428="","",ROUNDUP(MONTH($A428)/3,0))</f>
        <v/>
      </c>
    </row>
    <row r="429">
      <c r="A429" s="33" t="n"/>
      <c r="B429" s="16" t="n"/>
      <c r="C429" s="16" t="n"/>
      <c r="D429" s="16" t="n"/>
      <c r="E429" s="34" t="n"/>
      <c r="F429" s="18" t="n"/>
      <c r="G429" s="35">
        <f>IF($E429="","",$E429*$F429/100)</f>
        <v/>
      </c>
      <c r="H429" s="18" t="n"/>
      <c r="I429" s="35">
        <f>IF($E429="","",$E429*$H429/100)</f>
        <v/>
      </c>
      <c r="J429" s="35">
        <f>IF($E429="","",$E429+$G429-$I429)</f>
        <v/>
      </c>
      <c r="K429" s="16" t="n"/>
      <c r="L429" s="20">
        <f>IF($A429="","",ROUNDUP(MONTH($A429)/3,0))</f>
        <v/>
      </c>
    </row>
    <row r="430">
      <c r="A430" s="33" t="n"/>
      <c r="B430" s="16" t="n"/>
      <c r="C430" s="16" t="n"/>
      <c r="D430" s="16" t="n"/>
      <c r="E430" s="34" t="n"/>
      <c r="F430" s="18" t="n"/>
      <c r="G430" s="35">
        <f>IF($E430="","",$E430*$F430/100)</f>
        <v/>
      </c>
      <c r="H430" s="18" t="n"/>
      <c r="I430" s="35">
        <f>IF($E430="","",$E430*$H430/100)</f>
        <v/>
      </c>
      <c r="J430" s="35">
        <f>IF($E430="","",$E430+$G430-$I430)</f>
        <v/>
      </c>
      <c r="K430" s="16" t="n"/>
      <c r="L430" s="20">
        <f>IF($A430="","",ROUNDUP(MONTH($A430)/3,0))</f>
        <v/>
      </c>
    </row>
    <row r="431">
      <c r="A431" s="33" t="n"/>
      <c r="B431" s="16" t="n"/>
      <c r="C431" s="16" t="n"/>
      <c r="D431" s="16" t="n"/>
      <c r="E431" s="34" t="n"/>
      <c r="F431" s="18" t="n"/>
      <c r="G431" s="35">
        <f>IF($E431="","",$E431*$F431/100)</f>
        <v/>
      </c>
      <c r="H431" s="18" t="n"/>
      <c r="I431" s="35">
        <f>IF($E431="","",$E431*$H431/100)</f>
        <v/>
      </c>
      <c r="J431" s="35">
        <f>IF($E431="","",$E431+$G431-$I431)</f>
        <v/>
      </c>
      <c r="K431" s="16" t="n"/>
      <c r="L431" s="20">
        <f>IF($A431="","",ROUNDUP(MONTH($A431)/3,0))</f>
        <v/>
      </c>
    </row>
    <row r="432">
      <c r="A432" s="33" t="n"/>
      <c r="B432" s="16" t="n"/>
      <c r="C432" s="16" t="n"/>
      <c r="D432" s="16" t="n"/>
      <c r="E432" s="34" t="n"/>
      <c r="F432" s="18" t="n"/>
      <c r="G432" s="35">
        <f>IF($E432="","",$E432*$F432/100)</f>
        <v/>
      </c>
      <c r="H432" s="18" t="n"/>
      <c r="I432" s="35">
        <f>IF($E432="","",$E432*$H432/100)</f>
        <v/>
      </c>
      <c r="J432" s="35">
        <f>IF($E432="","",$E432+$G432-$I432)</f>
        <v/>
      </c>
      <c r="K432" s="16" t="n"/>
      <c r="L432" s="20">
        <f>IF($A432="","",ROUNDUP(MONTH($A432)/3,0))</f>
        <v/>
      </c>
    </row>
    <row r="433">
      <c r="A433" s="33" t="n"/>
      <c r="B433" s="16" t="n"/>
      <c r="C433" s="16" t="n"/>
      <c r="D433" s="16" t="n"/>
      <c r="E433" s="34" t="n"/>
      <c r="F433" s="18" t="n"/>
      <c r="G433" s="35">
        <f>IF($E433="","",$E433*$F433/100)</f>
        <v/>
      </c>
      <c r="H433" s="18" t="n"/>
      <c r="I433" s="35">
        <f>IF($E433="","",$E433*$H433/100)</f>
        <v/>
      </c>
      <c r="J433" s="35">
        <f>IF($E433="","",$E433+$G433-$I433)</f>
        <v/>
      </c>
      <c r="K433" s="16" t="n"/>
      <c r="L433" s="20">
        <f>IF($A433="","",ROUNDUP(MONTH($A433)/3,0))</f>
        <v/>
      </c>
    </row>
    <row r="434">
      <c r="A434" s="33" t="n"/>
      <c r="B434" s="16" t="n"/>
      <c r="C434" s="16" t="n"/>
      <c r="D434" s="16" t="n"/>
      <c r="E434" s="34" t="n"/>
      <c r="F434" s="18" t="n"/>
      <c r="G434" s="35">
        <f>IF($E434="","",$E434*$F434/100)</f>
        <v/>
      </c>
      <c r="H434" s="18" t="n"/>
      <c r="I434" s="35">
        <f>IF($E434="","",$E434*$H434/100)</f>
        <v/>
      </c>
      <c r="J434" s="35">
        <f>IF($E434="","",$E434+$G434-$I434)</f>
        <v/>
      </c>
      <c r="K434" s="16" t="n"/>
      <c r="L434" s="20">
        <f>IF($A434="","",ROUNDUP(MONTH($A434)/3,0))</f>
        <v/>
      </c>
    </row>
    <row r="435">
      <c r="A435" s="33" t="n"/>
      <c r="B435" s="16" t="n"/>
      <c r="C435" s="16" t="n"/>
      <c r="D435" s="16" t="n"/>
      <c r="E435" s="34" t="n"/>
      <c r="F435" s="18" t="n"/>
      <c r="G435" s="35">
        <f>IF($E435="","",$E435*$F435/100)</f>
        <v/>
      </c>
      <c r="H435" s="18" t="n"/>
      <c r="I435" s="35">
        <f>IF($E435="","",$E435*$H435/100)</f>
        <v/>
      </c>
      <c r="J435" s="35">
        <f>IF($E435="","",$E435+$G435-$I435)</f>
        <v/>
      </c>
      <c r="K435" s="16" t="n"/>
      <c r="L435" s="20">
        <f>IF($A435="","",ROUNDUP(MONTH($A435)/3,0))</f>
        <v/>
      </c>
    </row>
    <row r="436">
      <c r="A436" s="33" t="n"/>
      <c r="B436" s="16" t="n"/>
      <c r="C436" s="16" t="n"/>
      <c r="D436" s="16" t="n"/>
      <c r="E436" s="34" t="n"/>
      <c r="F436" s="18" t="n"/>
      <c r="G436" s="35">
        <f>IF($E436="","",$E436*$F436/100)</f>
        <v/>
      </c>
      <c r="H436" s="18" t="n"/>
      <c r="I436" s="35">
        <f>IF($E436="","",$E436*$H436/100)</f>
        <v/>
      </c>
      <c r="J436" s="35">
        <f>IF($E436="","",$E436+$G436-$I436)</f>
        <v/>
      </c>
      <c r="K436" s="16" t="n"/>
      <c r="L436" s="20">
        <f>IF($A436="","",ROUNDUP(MONTH($A436)/3,0))</f>
        <v/>
      </c>
    </row>
    <row r="437">
      <c r="A437" s="33" t="n"/>
      <c r="B437" s="16" t="n"/>
      <c r="C437" s="16" t="n"/>
      <c r="D437" s="16" t="n"/>
      <c r="E437" s="34" t="n"/>
      <c r="F437" s="18" t="n"/>
      <c r="G437" s="35">
        <f>IF($E437="","",$E437*$F437/100)</f>
        <v/>
      </c>
      <c r="H437" s="18" t="n"/>
      <c r="I437" s="35">
        <f>IF($E437="","",$E437*$H437/100)</f>
        <v/>
      </c>
      <c r="J437" s="35">
        <f>IF($E437="","",$E437+$G437-$I437)</f>
        <v/>
      </c>
      <c r="K437" s="16" t="n"/>
      <c r="L437" s="20">
        <f>IF($A437="","",ROUNDUP(MONTH($A437)/3,0))</f>
        <v/>
      </c>
    </row>
    <row r="438">
      <c r="A438" s="33" t="n"/>
      <c r="B438" s="16" t="n"/>
      <c r="C438" s="16" t="n"/>
      <c r="D438" s="16" t="n"/>
      <c r="E438" s="34" t="n"/>
      <c r="F438" s="18" t="n"/>
      <c r="G438" s="35">
        <f>IF($E438="","",$E438*$F438/100)</f>
        <v/>
      </c>
      <c r="H438" s="18" t="n"/>
      <c r="I438" s="35">
        <f>IF($E438="","",$E438*$H438/100)</f>
        <v/>
      </c>
      <c r="J438" s="35">
        <f>IF($E438="","",$E438+$G438-$I438)</f>
        <v/>
      </c>
      <c r="K438" s="16" t="n"/>
      <c r="L438" s="20">
        <f>IF($A438="","",ROUNDUP(MONTH($A438)/3,0))</f>
        <v/>
      </c>
    </row>
    <row r="439">
      <c r="A439" s="33" t="n"/>
      <c r="B439" s="16" t="n"/>
      <c r="C439" s="16" t="n"/>
      <c r="D439" s="16" t="n"/>
      <c r="E439" s="34" t="n"/>
      <c r="F439" s="18" t="n"/>
      <c r="G439" s="35">
        <f>IF($E439="","",$E439*$F439/100)</f>
        <v/>
      </c>
      <c r="H439" s="18" t="n"/>
      <c r="I439" s="35">
        <f>IF($E439="","",$E439*$H439/100)</f>
        <v/>
      </c>
      <c r="J439" s="35">
        <f>IF($E439="","",$E439+$G439-$I439)</f>
        <v/>
      </c>
      <c r="K439" s="16" t="n"/>
      <c r="L439" s="20">
        <f>IF($A439="","",ROUNDUP(MONTH($A439)/3,0))</f>
        <v/>
      </c>
    </row>
    <row r="440">
      <c r="A440" s="33" t="n"/>
      <c r="B440" s="16" t="n"/>
      <c r="C440" s="16" t="n"/>
      <c r="D440" s="16" t="n"/>
      <c r="E440" s="34" t="n"/>
      <c r="F440" s="18" t="n"/>
      <c r="G440" s="35">
        <f>IF($E440="","",$E440*$F440/100)</f>
        <v/>
      </c>
      <c r="H440" s="18" t="n"/>
      <c r="I440" s="35">
        <f>IF($E440="","",$E440*$H440/100)</f>
        <v/>
      </c>
      <c r="J440" s="35">
        <f>IF($E440="","",$E440+$G440-$I440)</f>
        <v/>
      </c>
      <c r="K440" s="16" t="n"/>
      <c r="L440" s="20">
        <f>IF($A440="","",ROUNDUP(MONTH($A440)/3,0))</f>
        <v/>
      </c>
    </row>
    <row r="441">
      <c r="A441" s="33" t="n"/>
      <c r="B441" s="16" t="n"/>
      <c r="C441" s="16" t="n"/>
      <c r="D441" s="16" t="n"/>
      <c r="E441" s="34" t="n"/>
      <c r="F441" s="18" t="n"/>
      <c r="G441" s="35">
        <f>IF($E441="","",$E441*$F441/100)</f>
        <v/>
      </c>
      <c r="H441" s="18" t="n"/>
      <c r="I441" s="35">
        <f>IF($E441="","",$E441*$H441/100)</f>
        <v/>
      </c>
      <c r="J441" s="35">
        <f>IF($E441="","",$E441+$G441-$I441)</f>
        <v/>
      </c>
      <c r="K441" s="16" t="n"/>
      <c r="L441" s="20">
        <f>IF($A441="","",ROUNDUP(MONTH($A441)/3,0))</f>
        <v/>
      </c>
    </row>
    <row r="442">
      <c r="A442" s="33" t="n"/>
      <c r="B442" s="16" t="n"/>
      <c r="C442" s="16" t="n"/>
      <c r="D442" s="16" t="n"/>
      <c r="E442" s="34" t="n"/>
      <c r="F442" s="18" t="n"/>
      <c r="G442" s="35">
        <f>IF($E442="","",$E442*$F442/100)</f>
        <v/>
      </c>
      <c r="H442" s="18" t="n"/>
      <c r="I442" s="35">
        <f>IF($E442="","",$E442*$H442/100)</f>
        <v/>
      </c>
      <c r="J442" s="35">
        <f>IF($E442="","",$E442+$G442-$I442)</f>
        <v/>
      </c>
      <c r="K442" s="16" t="n"/>
      <c r="L442" s="20">
        <f>IF($A442="","",ROUNDUP(MONTH($A442)/3,0))</f>
        <v/>
      </c>
    </row>
    <row r="443">
      <c r="A443" s="33" t="n"/>
      <c r="B443" s="16" t="n"/>
      <c r="C443" s="16" t="n"/>
      <c r="D443" s="16" t="n"/>
      <c r="E443" s="34" t="n"/>
      <c r="F443" s="18" t="n"/>
      <c r="G443" s="35">
        <f>IF($E443="","",$E443*$F443/100)</f>
        <v/>
      </c>
      <c r="H443" s="18" t="n"/>
      <c r="I443" s="35">
        <f>IF($E443="","",$E443*$H443/100)</f>
        <v/>
      </c>
      <c r="J443" s="35">
        <f>IF($E443="","",$E443+$G443-$I443)</f>
        <v/>
      </c>
      <c r="K443" s="16" t="n"/>
      <c r="L443" s="20">
        <f>IF($A443="","",ROUNDUP(MONTH($A443)/3,0))</f>
        <v/>
      </c>
    </row>
    <row r="444">
      <c r="A444" s="33" t="n"/>
      <c r="B444" s="16" t="n"/>
      <c r="C444" s="16" t="n"/>
      <c r="D444" s="16" t="n"/>
      <c r="E444" s="34" t="n"/>
      <c r="F444" s="18" t="n"/>
      <c r="G444" s="35">
        <f>IF($E444="","",$E444*$F444/100)</f>
        <v/>
      </c>
      <c r="H444" s="18" t="n"/>
      <c r="I444" s="35">
        <f>IF($E444="","",$E444*$H444/100)</f>
        <v/>
      </c>
      <c r="J444" s="35">
        <f>IF($E444="","",$E444+$G444-$I444)</f>
        <v/>
      </c>
      <c r="K444" s="16" t="n"/>
      <c r="L444" s="20">
        <f>IF($A444="","",ROUNDUP(MONTH($A444)/3,0))</f>
        <v/>
      </c>
    </row>
    <row r="445">
      <c r="A445" s="33" t="n"/>
      <c r="B445" s="16" t="n"/>
      <c r="C445" s="16" t="n"/>
      <c r="D445" s="16" t="n"/>
      <c r="E445" s="34" t="n"/>
      <c r="F445" s="18" t="n"/>
      <c r="G445" s="35">
        <f>IF($E445="","",$E445*$F445/100)</f>
        <v/>
      </c>
      <c r="H445" s="18" t="n"/>
      <c r="I445" s="35">
        <f>IF($E445="","",$E445*$H445/100)</f>
        <v/>
      </c>
      <c r="J445" s="35">
        <f>IF($E445="","",$E445+$G445-$I445)</f>
        <v/>
      </c>
      <c r="K445" s="16" t="n"/>
      <c r="L445" s="20">
        <f>IF($A445="","",ROUNDUP(MONTH($A445)/3,0))</f>
        <v/>
      </c>
    </row>
    <row r="446">
      <c r="A446" s="33" t="n"/>
      <c r="B446" s="16" t="n"/>
      <c r="C446" s="16" t="n"/>
      <c r="D446" s="16" t="n"/>
      <c r="E446" s="34" t="n"/>
      <c r="F446" s="18" t="n"/>
      <c r="G446" s="35">
        <f>IF($E446="","",$E446*$F446/100)</f>
        <v/>
      </c>
      <c r="H446" s="18" t="n"/>
      <c r="I446" s="35">
        <f>IF($E446="","",$E446*$H446/100)</f>
        <v/>
      </c>
      <c r="J446" s="35">
        <f>IF($E446="","",$E446+$G446-$I446)</f>
        <v/>
      </c>
      <c r="K446" s="16" t="n"/>
      <c r="L446" s="20">
        <f>IF($A446="","",ROUNDUP(MONTH($A446)/3,0))</f>
        <v/>
      </c>
    </row>
    <row r="447">
      <c r="A447" s="33" t="n"/>
      <c r="B447" s="16" t="n"/>
      <c r="C447" s="16" t="n"/>
      <c r="D447" s="16" t="n"/>
      <c r="E447" s="34" t="n"/>
      <c r="F447" s="18" t="n"/>
      <c r="G447" s="35">
        <f>IF($E447="","",$E447*$F447/100)</f>
        <v/>
      </c>
      <c r="H447" s="18" t="n"/>
      <c r="I447" s="35">
        <f>IF($E447="","",$E447*$H447/100)</f>
        <v/>
      </c>
      <c r="J447" s="35">
        <f>IF($E447="","",$E447+$G447-$I447)</f>
        <v/>
      </c>
      <c r="K447" s="16" t="n"/>
      <c r="L447" s="20">
        <f>IF($A447="","",ROUNDUP(MONTH($A447)/3,0))</f>
        <v/>
      </c>
    </row>
    <row r="448">
      <c r="A448" s="33" t="n"/>
      <c r="B448" s="16" t="n"/>
      <c r="C448" s="16" t="n"/>
      <c r="D448" s="16" t="n"/>
      <c r="E448" s="34" t="n"/>
      <c r="F448" s="18" t="n"/>
      <c r="G448" s="35">
        <f>IF($E448="","",$E448*$F448/100)</f>
        <v/>
      </c>
      <c r="H448" s="18" t="n"/>
      <c r="I448" s="35">
        <f>IF($E448="","",$E448*$H448/100)</f>
        <v/>
      </c>
      <c r="J448" s="35">
        <f>IF($E448="","",$E448+$G448-$I448)</f>
        <v/>
      </c>
      <c r="K448" s="16" t="n"/>
      <c r="L448" s="20">
        <f>IF($A448="","",ROUNDUP(MONTH($A448)/3,0))</f>
        <v/>
      </c>
    </row>
    <row r="449">
      <c r="A449" s="33" t="n"/>
      <c r="B449" s="16" t="n"/>
      <c r="C449" s="16" t="n"/>
      <c r="D449" s="16" t="n"/>
      <c r="E449" s="34" t="n"/>
      <c r="F449" s="18" t="n"/>
      <c r="G449" s="35">
        <f>IF($E449="","",$E449*$F449/100)</f>
        <v/>
      </c>
      <c r="H449" s="18" t="n"/>
      <c r="I449" s="35">
        <f>IF($E449="","",$E449*$H449/100)</f>
        <v/>
      </c>
      <c r="J449" s="35">
        <f>IF($E449="","",$E449+$G449-$I449)</f>
        <v/>
      </c>
      <c r="K449" s="16" t="n"/>
      <c r="L449" s="20">
        <f>IF($A449="","",ROUNDUP(MONTH($A449)/3,0))</f>
        <v/>
      </c>
    </row>
    <row r="450">
      <c r="A450" s="33" t="n"/>
      <c r="B450" s="16" t="n"/>
      <c r="C450" s="16" t="n"/>
      <c r="D450" s="16" t="n"/>
      <c r="E450" s="34" t="n"/>
      <c r="F450" s="18" t="n"/>
      <c r="G450" s="35">
        <f>IF($E450="","",$E450*$F450/100)</f>
        <v/>
      </c>
      <c r="H450" s="18" t="n"/>
      <c r="I450" s="35">
        <f>IF($E450="","",$E450*$H450/100)</f>
        <v/>
      </c>
      <c r="J450" s="35">
        <f>IF($E450="","",$E450+$G450-$I450)</f>
        <v/>
      </c>
      <c r="K450" s="16" t="n"/>
      <c r="L450" s="20">
        <f>IF($A450="","",ROUNDUP(MONTH($A450)/3,0))</f>
        <v/>
      </c>
    </row>
    <row r="451">
      <c r="A451" s="33" t="n"/>
      <c r="B451" s="16" t="n"/>
      <c r="C451" s="16" t="n"/>
      <c r="D451" s="16" t="n"/>
      <c r="E451" s="34" t="n"/>
      <c r="F451" s="18" t="n"/>
      <c r="G451" s="35">
        <f>IF($E451="","",$E451*$F451/100)</f>
        <v/>
      </c>
      <c r="H451" s="18" t="n"/>
      <c r="I451" s="35">
        <f>IF($E451="","",$E451*$H451/100)</f>
        <v/>
      </c>
      <c r="J451" s="35">
        <f>IF($E451="","",$E451+$G451-$I451)</f>
        <v/>
      </c>
      <c r="K451" s="16" t="n"/>
      <c r="L451" s="20">
        <f>IF($A451="","",ROUNDUP(MONTH($A451)/3,0))</f>
        <v/>
      </c>
    </row>
    <row r="452">
      <c r="A452" s="33" t="n"/>
      <c r="B452" s="16" t="n"/>
      <c r="C452" s="16" t="n"/>
      <c r="D452" s="16" t="n"/>
      <c r="E452" s="34" t="n"/>
      <c r="F452" s="18" t="n"/>
      <c r="G452" s="35">
        <f>IF($E452="","",$E452*$F452/100)</f>
        <v/>
      </c>
      <c r="H452" s="18" t="n"/>
      <c r="I452" s="35">
        <f>IF($E452="","",$E452*$H452/100)</f>
        <v/>
      </c>
      <c r="J452" s="35">
        <f>IF($E452="","",$E452+$G452-$I452)</f>
        <v/>
      </c>
      <c r="K452" s="16" t="n"/>
      <c r="L452" s="20">
        <f>IF($A452="","",ROUNDUP(MONTH($A452)/3,0))</f>
        <v/>
      </c>
    </row>
    <row r="453">
      <c r="A453" s="33" t="n"/>
      <c r="B453" s="16" t="n"/>
      <c r="C453" s="16" t="n"/>
      <c r="D453" s="16" t="n"/>
      <c r="E453" s="34" t="n"/>
      <c r="F453" s="18" t="n"/>
      <c r="G453" s="35">
        <f>IF($E453="","",$E453*$F453/100)</f>
        <v/>
      </c>
      <c r="H453" s="18" t="n"/>
      <c r="I453" s="35">
        <f>IF($E453="","",$E453*$H453/100)</f>
        <v/>
      </c>
      <c r="J453" s="35">
        <f>IF($E453="","",$E453+$G453-$I453)</f>
        <v/>
      </c>
      <c r="K453" s="16" t="n"/>
      <c r="L453" s="20">
        <f>IF($A453="","",ROUNDUP(MONTH($A453)/3,0))</f>
        <v/>
      </c>
    </row>
    <row r="454">
      <c r="A454" s="33" t="n"/>
      <c r="B454" s="16" t="n"/>
      <c r="C454" s="16" t="n"/>
      <c r="D454" s="16" t="n"/>
      <c r="E454" s="34" t="n"/>
      <c r="F454" s="18" t="n"/>
      <c r="G454" s="35">
        <f>IF($E454="","",$E454*$F454/100)</f>
        <v/>
      </c>
      <c r="H454" s="18" t="n"/>
      <c r="I454" s="35">
        <f>IF($E454="","",$E454*$H454/100)</f>
        <v/>
      </c>
      <c r="J454" s="35">
        <f>IF($E454="","",$E454+$G454-$I454)</f>
        <v/>
      </c>
      <c r="K454" s="16" t="n"/>
      <c r="L454" s="20">
        <f>IF($A454="","",ROUNDUP(MONTH($A454)/3,0))</f>
        <v/>
      </c>
    </row>
    <row r="455">
      <c r="A455" s="33" t="n"/>
      <c r="B455" s="16" t="n"/>
      <c r="C455" s="16" t="n"/>
      <c r="D455" s="16" t="n"/>
      <c r="E455" s="34" t="n"/>
      <c r="F455" s="18" t="n"/>
      <c r="G455" s="35">
        <f>IF($E455="","",$E455*$F455/100)</f>
        <v/>
      </c>
      <c r="H455" s="18" t="n"/>
      <c r="I455" s="35">
        <f>IF($E455="","",$E455*$H455/100)</f>
        <v/>
      </c>
      <c r="J455" s="35">
        <f>IF($E455="","",$E455+$G455-$I455)</f>
        <v/>
      </c>
      <c r="K455" s="16" t="n"/>
      <c r="L455" s="20">
        <f>IF($A455="","",ROUNDUP(MONTH($A455)/3,0))</f>
        <v/>
      </c>
    </row>
    <row r="456">
      <c r="A456" s="33" t="n"/>
      <c r="B456" s="16" t="n"/>
      <c r="C456" s="16" t="n"/>
      <c r="D456" s="16" t="n"/>
      <c r="E456" s="34" t="n"/>
      <c r="F456" s="18" t="n"/>
      <c r="G456" s="35">
        <f>IF($E456="","",$E456*$F456/100)</f>
        <v/>
      </c>
      <c r="H456" s="18" t="n"/>
      <c r="I456" s="35">
        <f>IF($E456="","",$E456*$H456/100)</f>
        <v/>
      </c>
      <c r="J456" s="35">
        <f>IF($E456="","",$E456+$G456-$I456)</f>
        <v/>
      </c>
      <c r="K456" s="16" t="n"/>
      <c r="L456" s="20">
        <f>IF($A456="","",ROUNDUP(MONTH($A456)/3,0))</f>
        <v/>
      </c>
    </row>
    <row r="457">
      <c r="A457" s="33" t="n"/>
      <c r="B457" s="16" t="n"/>
      <c r="C457" s="16" t="n"/>
      <c r="D457" s="16" t="n"/>
      <c r="E457" s="34" t="n"/>
      <c r="F457" s="18" t="n"/>
      <c r="G457" s="35">
        <f>IF($E457="","",$E457*$F457/100)</f>
        <v/>
      </c>
      <c r="H457" s="18" t="n"/>
      <c r="I457" s="35">
        <f>IF($E457="","",$E457*$H457/100)</f>
        <v/>
      </c>
      <c r="J457" s="35">
        <f>IF($E457="","",$E457+$G457-$I457)</f>
        <v/>
      </c>
      <c r="K457" s="16" t="n"/>
      <c r="L457" s="20">
        <f>IF($A457="","",ROUNDUP(MONTH($A457)/3,0))</f>
        <v/>
      </c>
    </row>
    <row r="458">
      <c r="A458" s="33" t="n"/>
      <c r="B458" s="16" t="n"/>
      <c r="C458" s="16" t="n"/>
      <c r="D458" s="16" t="n"/>
      <c r="E458" s="34" t="n"/>
      <c r="F458" s="18" t="n"/>
      <c r="G458" s="35">
        <f>IF($E458="","",$E458*$F458/100)</f>
        <v/>
      </c>
      <c r="H458" s="18" t="n"/>
      <c r="I458" s="35">
        <f>IF($E458="","",$E458*$H458/100)</f>
        <v/>
      </c>
      <c r="J458" s="35">
        <f>IF($E458="","",$E458+$G458-$I458)</f>
        <v/>
      </c>
      <c r="K458" s="16" t="n"/>
      <c r="L458" s="20">
        <f>IF($A458="","",ROUNDUP(MONTH($A458)/3,0))</f>
        <v/>
      </c>
    </row>
    <row r="459">
      <c r="A459" s="33" t="n"/>
      <c r="B459" s="16" t="n"/>
      <c r="C459" s="16" t="n"/>
      <c r="D459" s="16" t="n"/>
      <c r="E459" s="34" t="n"/>
      <c r="F459" s="18" t="n"/>
      <c r="G459" s="35">
        <f>IF($E459="","",$E459*$F459/100)</f>
        <v/>
      </c>
      <c r="H459" s="18" t="n"/>
      <c r="I459" s="35">
        <f>IF($E459="","",$E459*$H459/100)</f>
        <v/>
      </c>
      <c r="J459" s="35">
        <f>IF($E459="","",$E459+$G459-$I459)</f>
        <v/>
      </c>
      <c r="K459" s="16" t="n"/>
      <c r="L459" s="20">
        <f>IF($A459="","",ROUNDUP(MONTH($A459)/3,0))</f>
        <v/>
      </c>
    </row>
    <row r="460">
      <c r="A460" s="33" t="n"/>
      <c r="B460" s="16" t="n"/>
      <c r="C460" s="16" t="n"/>
      <c r="D460" s="16" t="n"/>
      <c r="E460" s="34" t="n"/>
      <c r="F460" s="18" t="n"/>
      <c r="G460" s="35">
        <f>IF($E460="","",$E460*$F460/100)</f>
        <v/>
      </c>
      <c r="H460" s="18" t="n"/>
      <c r="I460" s="35">
        <f>IF($E460="","",$E460*$H460/100)</f>
        <v/>
      </c>
      <c r="J460" s="35">
        <f>IF($E460="","",$E460+$G460-$I460)</f>
        <v/>
      </c>
      <c r="K460" s="16" t="n"/>
      <c r="L460" s="20">
        <f>IF($A460="","",ROUNDUP(MONTH($A460)/3,0))</f>
        <v/>
      </c>
    </row>
    <row r="461">
      <c r="A461" s="33" t="n"/>
      <c r="B461" s="16" t="n"/>
      <c r="C461" s="16" t="n"/>
      <c r="D461" s="16" t="n"/>
      <c r="E461" s="34" t="n"/>
      <c r="F461" s="18" t="n"/>
      <c r="G461" s="35">
        <f>IF($E461="","",$E461*$F461/100)</f>
        <v/>
      </c>
      <c r="H461" s="18" t="n"/>
      <c r="I461" s="35">
        <f>IF($E461="","",$E461*$H461/100)</f>
        <v/>
      </c>
      <c r="J461" s="35">
        <f>IF($E461="","",$E461+$G461-$I461)</f>
        <v/>
      </c>
      <c r="K461" s="16" t="n"/>
      <c r="L461" s="20">
        <f>IF($A461="","",ROUNDUP(MONTH($A461)/3,0))</f>
        <v/>
      </c>
    </row>
    <row r="462">
      <c r="A462" s="33" t="n"/>
      <c r="B462" s="16" t="n"/>
      <c r="C462" s="16" t="n"/>
      <c r="D462" s="16" t="n"/>
      <c r="E462" s="34" t="n"/>
      <c r="F462" s="18" t="n"/>
      <c r="G462" s="35">
        <f>IF($E462="","",$E462*$F462/100)</f>
        <v/>
      </c>
      <c r="H462" s="18" t="n"/>
      <c r="I462" s="35">
        <f>IF($E462="","",$E462*$H462/100)</f>
        <v/>
      </c>
      <c r="J462" s="35">
        <f>IF($E462="","",$E462+$G462-$I462)</f>
        <v/>
      </c>
      <c r="K462" s="16" t="n"/>
      <c r="L462" s="20">
        <f>IF($A462="","",ROUNDUP(MONTH($A462)/3,0))</f>
        <v/>
      </c>
    </row>
    <row r="463">
      <c r="A463" s="33" t="n"/>
      <c r="B463" s="16" t="n"/>
      <c r="C463" s="16" t="n"/>
      <c r="D463" s="16" t="n"/>
      <c r="E463" s="34" t="n"/>
      <c r="F463" s="18" t="n"/>
      <c r="G463" s="35">
        <f>IF($E463="","",$E463*$F463/100)</f>
        <v/>
      </c>
      <c r="H463" s="18" t="n"/>
      <c r="I463" s="35">
        <f>IF($E463="","",$E463*$H463/100)</f>
        <v/>
      </c>
      <c r="J463" s="35">
        <f>IF($E463="","",$E463+$G463-$I463)</f>
        <v/>
      </c>
      <c r="K463" s="16" t="n"/>
      <c r="L463" s="20">
        <f>IF($A463="","",ROUNDUP(MONTH($A463)/3,0))</f>
        <v/>
      </c>
    </row>
    <row r="464">
      <c r="A464" s="33" t="n"/>
      <c r="B464" s="16" t="n"/>
      <c r="C464" s="16" t="n"/>
      <c r="D464" s="16" t="n"/>
      <c r="E464" s="34" t="n"/>
      <c r="F464" s="18" t="n"/>
      <c r="G464" s="35">
        <f>IF($E464="","",$E464*$F464/100)</f>
        <v/>
      </c>
      <c r="H464" s="18" t="n"/>
      <c r="I464" s="35">
        <f>IF($E464="","",$E464*$H464/100)</f>
        <v/>
      </c>
      <c r="J464" s="35">
        <f>IF($E464="","",$E464+$G464-$I464)</f>
        <v/>
      </c>
      <c r="K464" s="16" t="n"/>
      <c r="L464" s="20">
        <f>IF($A464="","",ROUNDUP(MONTH($A464)/3,0))</f>
        <v/>
      </c>
    </row>
    <row r="465">
      <c r="A465" s="33" t="n"/>
      <c r="B465" s="16" t="n"/>
      <c r="C465" s="16" t="n"/>
      <c r="D465" s="16" t="n"/>
      <c r="E465" s="34" t="n"/>
      <c r="F465" s="18" t="n"/>
      <c r="G465" s="35">
        <f>IF($E465="","",$E465*$F465/100)</f>
        <v/>
      </c>
      <c r="H465" s="18" t="n"/>
      <c r="I465" s="35">
        <f>IF($E465="","",$E465*$H465/100)</f>
        <v/>
      </c>
      <c r="J465" s="35">
        <f>IF($E465="","",$E465+$G465-$I465)</f>
        <v/>
      </c>
      <c r="K465" s="16" t="n"/>
      <c r="L465" s="20">
        <f>IF($A465="","",ROUNDUP(MONTH($A465)/3,0))</f>
        <v/>
      </c>
    </row>
    <row r="466">
      <c r="A466" s="33" t="n"/>
      <c r="B466" s="16" t="n"/>
      <c r="C466" s="16" t="n"/>
      <c r="D466" s="16" t="n"/>
      <c r="E466" s="34" t="n"/>
      <c r="F466" s="18" t="n"/>
      <c r="G466" s="35">
        <f>IF($E466="","",$E466*$F466/100)</f>
        <v/>
      </c>
      <c r="H466" s="18" t="n"/>
      <c r="I466" s="35">
        <f>IF($E466="","",$E466*$H466/100)</f>
        <v/>
      </c>
      <c r="J466" s="35">
        <f>IF($E466="","",$E466+$G466-$I466)</f>
        <v/>
      </c>
      <c r="K466" s="16" t="n"/>
      <c r="L466" s="20">
        <f>IF($A466="","",ROUNDUP(MONTH($A466)/3,0))</f>
        <v/>
      </c>
    </row>
    <row r="467">
      <c r="A467" s="33" t="n"/>
      <c r="B467" s="16" t="n"/>
      <c r="C467" s="16" t="n"/>
      <c r="D467" s="16" t="n"/>
      <c r="E467" s="34" t="n"/>
      <c r="F467" s="18" t="n"/>
      <c r="G467" s="35">
        <f>IF($E467="","",$E467*$F467/100)</f>
        <v/>
      </c>
      <c r="H467" s="18" t="n"/>
      <c r="I467" s="35">
        <f>IF($E467="","",$E467*$H467/100)</f>
        <v/>
      </c>
      <c r="J467" s="35">
        <f>IF($E467="","",$E467+$G467-$I467)</f>
        <v/>
      </c>
      <c r="K467" s="16" t="n"/>
      <c r="L467" s="20">
        <f>IF($A467="","",ROUNDUP(MONTH($A467)/3,0))</f>
        <v/>
      </c>
    </row>
    <row r="468">
      <c r="A468" s="33" t="n"/>
      <c r="B468" s="16" t="n"/>
      <c r="C468" s="16" t="n"/>
      <c r="D468" s="16" t="n"/>
      <c r="E468" s="34" t="n"/>
      <c r="F468" s="18" t="n"/>
      <c r="G468" s="35">
        <f>IF($E468="","",$E468*$F468/100)</f>
        <v/>
      </c>
      <c r="H468" s="18" t="n"/>
      <c r="I468" s="35">
        <f>IF($E468="","",$E468*$H468/100)</f>
        <v/>
      </c>
      <c r="J468" s="35">
        <f>IF($E468="","",$E468+$G468-$I468)</f>
        <v/>
      </c>
      <c r="K468" s="16" t="n"/>
      <c r="L468" s="20">
        <f>IF($A468="","",ROUNDUP(MONTH($A468)/3,0))</f>
        <v/>
      </c>
    </row>
    <row r="469">
      <c r="A469" s="33" t="n"/>
      <c r="B469" s="16" t="n"/>
      <c r="C469" s="16" t="n"/>
      <c r="D469" s="16" t="n"/>
      <c r="E469" s="34" t="n"/>
      <c r="F469" s="18" t="n"/>
      <c r="G469" s="35">
        <f>IF($E469="","",$E469*$F469/100)</f>
        <v/>
      </c>
      <c r="H469" s="18" t="n"/>
      <c r="I469" s="35">
        <f>IF($E469="","",$E469*$H469/100)</f>
        <v/>
      </c>
      <c r="J469" s="35">
        <f>IF($E469="","",$E469+$G469-$I469)</f>
        <v/>
      </c>
      <c r="K469" s="16" t="n"/>
      <c r="L469" s="20">
        <f>IF($A469="","",ROUNDUP(MONTH($A469)/3,0))</f>
        <v/>
      </c>
    </row>
    <row r="470">
      <c r="A470" s="33" t="n"/>
      <c r="B470" s="16" t="n"/>
      <c r="C470" s="16" t="n"/>
      <c r="D470" s="16" t="n"/>
      <c r="E470" s="34" t="n"/>
      <c r="F470" s="18" t="n"/>
      <c r="G470" s="35">
        <f>IF($E470="","",$E470*$F470/100)</f>
        <v/>
      </c>
      <c r="H470" s="18" t="n"/>
      <c r="I470" s="35">
        <f>IF($E470="","",$E470*$H470/100)</f>
        <v/>
      </c>
      <c r="J470" s="35">
        <f>IF($E470="","",$E470+$G470-$I470)</f>
        <v/>
      </c>
      <c r="K470" s="16" t="n"/>
      <c r="L470" s="20">
        <f>IF($A470="","",ROUNDUP(MONTH($A470)/3,0))</f>
        <v/>
      </c>
    </row>
    <row r="471">
      <c r="A471" s="33" t="n"/>
      <c r="B471" s="16" t="n"/>
      <c r="C471" s="16" t="n"/>
      <c r="D471" s="16" t="n"/>
      <c r="E471" s="34" t="n"/>
      <c r="F471" s="18" t="n"/>
      <c r="G471" s="35">
        <f>IF($E471="","",$E471*$F471/100)</f>
        <v/>
      </c>
      <c r="H471" s="18" t="n"/>
      <c r="I471" s="35">
        <f>IF($E471="","",$E471*$H471/100)</f>
        <v/>
      </c>
      <c r="J471" s="35">
        <f>IF($E471="","",$E471+$G471-$I471)</f>
        <v/>
      </c>
      <c r="K471" s="16" t="n"/>
      <c r="L471" s="20">
        <f>IF($A471="","",ROUNDUP(MONTH($A471)/3,0))</f>
        <v/>
      </c>
    </row>
    <row r="472">
      <c r="A472" s="33" t="n"/>
      <c r="B472" s="16" t="n"/>
      <c r="C472" s="16" t="n"/>
      <c r="D472" s="16" t="n"/>
      <c r="E472" s="34" t="n"/>
      <c r="F472" s="18" t="n"/>
      <c r="G472" s="35">
        <f>IF($E472="","",$E472*$F472/100)</f>
        <v/>
      </c>
      <c r="H472" s="18" t="n"/>
      <c r="I472" s="35">
        <f>IF($E472="","",$E472*$H472/100)</f>
        <v/>
      </c>
      <c r="J472" s="35">
        <f>IF($E472="","",$E472+$G472-$I472)</f>
        <v/>
      </c>
      <c r="K472" s="16" t="n"/>
      <c r="L472" s="20">
        <f>IF($A472="","",ROUNDUP(MONTH($A472)/3,0))</f>
        <v/>
      </c>
    </row>
    <row r="473">
      <c r="A473" s="33" t="n"/>
      <c r="B473" s="16" t="n"/>
      <c r="C473" s="16" t="n"/>
      <c r="D473" s="16" t="n"/>
      <c r="E473" s="34" t="n"/>
      <c r="F473" s="18" t="n"/>
      <c r="G473" s="35">
        <f>IF($E473="","",$E473*$F473/100)</f>
        <v/>
      </c>
      <c r="H473" s="18" t="n"/>
      <c r="I473" s="35">
        <f>IF($E473="","",$E473*$H473/100)</f>
        <v/>
      </c>
      <c r="J473" s="35">
        <f>IF($E473="","",$E473+$G473-$I473)</f>
        <v/>
      </c>
      <c r="K473" s="16" t="n"/>
      <c r="L473" s="20">
        <f>IF($A473="","",ROUNDUP(MONTH($A473)/3,0))</f>
        <v/>
      </c>
    </row>
    <row r="474">
      <c r="A474" s="33" t="n"/>
      <c r="B474" s="16" t="n"/>
      <c r="C474" s="16" t="n"/>
      <c r="D474" s="16" t="n"/>
      <c r="E474" s="34" t="n"/>
      <c r="F474" s="18" t="n"/>
      <c r="G474" s="35">
        <f>IF($E474="","",$E474*$F474/100)</f>
        <v/>
      </c>
      <c r="H474" s="18" t="n"/>
      <c r="I474" s="35">
        <f>IF($E474="","",$E474*$H474/100)</f>
        <v/>
      </c>
      <c r="J474" s="35">
        <f>IF($E474="","",$E474+$G474-$I474)</f>
        <v/>
      </c>
      <c r="K474" s="16" t="n"/>
      <c r="L474" s="20">
        <f>IF($A474="","",ROUNDUP(MONTH($A474)/3,0))</f>
        <v/>
      </c>
    </row>
    <row r="475">
      <c r="A475" s="33" t="n"/>
      <c r="B475" s="16" t="n"/>
      <c r="C475" s="16" t="n"/>
      <c r="D475" s="16" t="n"/>
      <c r="E475" s="34" t="n"/>
      <c r="F475" s="18" t="n"/>
      <c r="G475" s="35">
        <f>IF($E475="","",$E475*$F475/100)</f>
        <v/>
      </c>
      <c r="H475" s="18" t="n"/>
      <c r="I475" s="35">
        <f>IF($E475="","",$E475*$H475/100)</f>
        <v/>
      </c>
      <c r="J475" s="35">
        <f>IF($E475="","",$E475+$G475-$I475)</f>
        <v/>
      </c>
      <c r="K475" s="16" t="n"/>
      <c r="L475" s="20">
        <f>IF($A475="","",ROUNDUP(MONTH($A475)/3,0))</f>
        <v/>
      </c>
    </row>
    <row r="476">
      <c r="A476" s="33" t="n"/>
      <c r="B476" s="16" t="n"/>
      <c r="C476" s="16" t="n"/>
      <c r="D476" s="16" t="n"/>
      <c r="E476" s="34" t="n"/>
      <c r="F476" s="18" t="n"/>
      <c r="G476" s="35">
        <f>IF($E476="","",$E476*$F476/100)</f>
        <v/>
      </c>
      <c r="H476" s="18" t="n"/>
      <c r="I476" s="35">
        <f>IF($E476="","",$E476*$H476/100)</f>
        <v/>
      </c>
      <c r="J476" s="35">
        <f>IF($E476="","",$E476+$G476-$I476)</f>
        <v/>
      </c>
      <c r="K476" s="16" t="n"/>
      <c r="L476" s="20">
        <f>IF($A476="","",ROUNDUP(MONTH($A476)/3,0))</f>
        <v/>
      </c>
    </row>
    <row r="477">
      <c r="A477" s="33" t="n"/>
      <c r="B477" s="16" t="n"/>
      <c r="C477" s="16" t="n"/>
      <c r="D477" s="16" t="n"/>
      <c r="E477" s="34" t="n"/>
      <c r="F477" s="18" t="n"/>
      <c r="G477" s="35">
        <f>IF($E477="","",$E477*$F477/100)</f>
        <v/>
      </c>
      <c r="H477" s="18" t="n"/>
      <c r="I477" s="35">
        <f>IF($E477="","",$E477*$H477/100)</f>
        <v/>
      </c>
      <c r="J477" s="35">
        <f>IF($E477="","",$E477+$G477-$I477)</f>
        <v/>
      </c>
      <c r="K477" s="16" t="n"/>
      <c r="L477" s="20">
        <f>IF($A477="","",ROUNDUP(MONTH($A477)/3,0))</f>
        <v/>
      </c>
    </row>
    <row r="478">
      <c r="A478" s="33" t="n"/>
      <c r="B478" s="16" t="n"/>
      <c r="C478" s="16" t="n"/>
      <c r="D478" s="16" t="n"/>
      <c r="E478" s="34" t="n"/>
      <c r="F478" s="18" t="n"/>
      <c r="G478" s="35">
        <f>IF($E478="","",$E478*$F478/100)</f>
        <v/>
      </c>
      <c r="H478" s="18" t="n"/>
      <c r="I478" s="35">
        <f>IF($E478="","",$E478*$H478/100)</f>
        <v/>
      </c>
      <c r="J478" s="35">
        <f>IF($E478="","",$E478+$G478-$I478)</f>
        <v/>
      </c>
      <c r="K478" s="16" t="n"/>
      <c r="L478" s="20">
        <f>IF($A478="","",ROUNDUP(MONTH($A478)/3,0))</f>
        <v/>
      </c>
    </row>
    <row r="479">
      <c r="A479" s="33" t="n"/>
      <c r="B479" s="16" t="n"/>
      <c r="C479" s="16" t="n"/>
      <c r="D479" s="16" t="n"/>
      <c r="E479" s="34" t="n"/>
      <c r="F479" s="18" t="n"/>
      <c r="G479" s="35">
        <f>IF($E479="","",$E479*$F479/100)</f>
        <v/>
      </c>
      <c r="H479" s="18" t="n"/>
      <c r="I479" s="35">
        <f>IF($E479="","",$E479*$H479/100)</f>
        <v/>
      </c>
      <c r="J479" s="35">
        <f>IF($E479="","",$E479+$G479-$I479)</f>
        <v/>
      </c>
      <c r="K479" s="16" t="n"/>
      <c r="L479" s="20">
        <f>IF($A479="","",ROUNDUP(MONTH($A479)/3,0))</f>
        <v/>
      </c>
    </row>
    <row r="480">
      <c r="A480" s="33" t="n"/>
      <c r="B480" s="16" t="n"/>
      <c r="C480" s="16" t="n"/>
      <c r="D480" s="16" t="n"/>
      <c r="E480" s="34" t="n"/>
      <c r="F480" s="18" t="n"/>
      <c r="G480" s="35">
        <f>IF($E480="","",$E480*$F480/100)</f>
        <v/>
      </c>
      <c r="H480" s="18" t="n"/>
      <c r="I480" s="35">
        <f>IF($E480="","",$E480*$H480/100)</f>
        <v/>
      </c>
      <c r="J480" s="35">
        <f>IF($E480="","",$E480+$G480-$I480)</f>
        <v/>
      </c>
      <c r="K480" s="16" t="n"/>
      <c r="L480" s="20">
        <f>IF($A480="","",ROUNDUP(MONTH($A480)/3,0))</f>
        <v/>
      </c>
    </row>
    <row r="481">
      <c r="A481" s="33" t="n"/>
      <c r="B481" s="16" t="n"/>
      <c r="C481" s="16" t="n"/>
      <c r="D481" s="16" t="n"/>
      <c r="E481" s="34" t="n"/>
      <c r="F481" s="18" t="n"/>
      <c r="G481" s="35">
        <f>IF($E481="","",$E481*$F481/100)</f>
        <v/>
      </c>
      <c r="H481" s="18" t="n"/>
      <c r="I481" s="35">
        <f>IF($E481="","",$E481*$H481/100)</f>
        <v/>
      </c>
      <c r="J481" s="35">
        <f>IF($E481="","",$E481+$G481-$I481)</f>
        <v/>
      </c>
      <c r="K481" s="16" t="n"/>
      <c r="L481" s="20">
        <f>IF($A481="","",ROUNDUP(MONTH($A481)/3,0))</f>
        <v/>
      </c>
    </row>
    <row r="482">
      <c r="A482" s="33" t="n"/>
      <c r="B482" s="16" t="n"/>
      <c r="C482" s="16" t="n"/>
      <c r="D482" s="16" t="n"/>
      <c r="E482" s="34" t="n"/>
      <c r="F482" s="18" t="n"/>
      <c r="G482" s="35">
        <f>IF($E482="","",$E482*$F482/100)</f>
        <v/>
      </c>
      <c r="H482" s="18" t="n"/>
      <c r="I482" s="35">
        <f>IF($E482="","",$E482*$H482/100)</f>
        <v/>
      </c>
      <c r="J482" s="35">
        <f>IF($E482="","",$E482+$G482-$I482)</f>
        <v/>
      </c>
      <c r="K482" s="16" t="n"/>
      <c r="L482" s="20">
        <f>IF($A482="","",ROUNDUP(MONTH($A482)/3,0))</f>
        <v/>
      </c>
    </row>
    <row r="483">
      <c r="A483" s="33" t="n"/>
      <c r="B483" s="16" t="n"/>
      <c r="C483" s="16" t="n"/>
      <c r="D483" s="16" t="n"/>
      <c r="E483" s="34" t="n"/>
      <c r="F483" s="18" t="n"/>
      <c r="G483" s="35">
        <f>IF($E483="","",$E483*$F483/100)</f>
        <v/>
      </c>
      <c r="H483" s="18" t="n"/>
      <c r="I483" s="35">
        <f>IF($E483="","",$E483*$H483/100)</f>
        <v/>
      </c>
      <c r="J483" s="35">
        <f>IF($E483="","",$E483+$G483-$I483)</f>
        <v/>
      </c>
      <c r="K483" s="16" t="n"/>
      <c r="L483" s="20">
        <f>IF($A483="","",ROUNDUP(MONTH($A483)/3,0))</f>
        <v/>
      </c>
    </row>
    <row r="484">
      <c r="A484" s="33" t="n"/>
      <c r="B484" s="16" t="n"/>
      <c r="C484" s="16" t="n"/>
      <c r="D484" s="16" t="n"/>
      <c r="E484" s="34" t="n"/>
      <c r="F484" s="18" t="n"/>
      <c r="G484" s="35">
        <f>IF($E484="","",$E484*$F484/100)</f>
        <v/>
      </c>
      <c r="H484" s="18" t="n"/>
      <c r="I484" s="35">
        <f>IF($E484="","",$E484*$H484/100)</f>
        <v/>
      </c>
      <c r="J484" s="35">
        <f>IF($E484="","",$E484+$G484-$I484)</f>
        <v/>
      </c>
      <c r="K484" s="16" t="n"/>
      <c r="L484" s="20">
        <f>IF($A484="","",ROUNDUP(MONTH($A484)/3,0))</f>
        <v/>
      </c>
    </row>
    <row r="485">
      <c r="A485" s="33" t="n"/>
      <c r="B485" s="16" t="n"/>
      <c r="C485" s="16" t="n"/>
      <c r="D485" s="16" t="n"/>
      <c r="E485" s="34" t="n"/>
      <c r="F485" s="18" t="n"/>
      <c r="G485" s="35">
        <f>IF($E485="","",$E485*$F485/100)</f>
        <v/>
      </c>
      <c r="H485" s="18" t="n"/>
      <c r="I485" s="35">
        <f>IF($E485="","",$E485*$H485/100)</f>
        <v/>
      </c>
      <c r="J485" s="35">
        <f>IF($E485="","",$E485+$G485-$I485)</f>
        <v/>
      </c>
      <c r="K485" s="16" t="n"/>
      <c r="L485" s="20">
        <f>IF($A485="","",ROUNDUP(MONTH($A485)/3,0))</f>
        <v/>
      </c>
    </row>
    <row r="486">
      <c r="A486" s="33" t="n"/>
      <c r="B486" s="16" t="n"/>
      <c r="C486" s="16" t="n"/>
      <c r="D486" s="16" t="n"/>
      <c r="E486" s="34" t="n"/>
      <c r="F486" s="18" t="n"/>
      <c r="G486" s="35">
        <f>IF($E486="","",$E486*$F486/100)</f>
        <v/>
      </c>
      <c r="H486" s="18" t="n"/>
      <c r="I486" s="35">
        <f>IF($E486="","",$E486*$H486/100)</f>
        <v/>
      </c>
      <c r="J486" s="35">
        <f>IF($E486="","",$E486+$G486-$I486)</f>
        <v/>
      </c>
      <c r="K486" s="16" t="n"/>
      <c r="L486" s="20">
        <f>IF($A486="","",ROUNDUP(MONTH($A486)/3,0))</f>
        <v/>
      </c>
    </row>
    <row r="487">
      <c r="A487" s="33" t="n"/>
      <c r="B487" s="16" t="n"/>
      <c r="C487" s="16" t="n"/>
      <c r="D487" s="16" t="n"/>
      <c r="E487" s="34" t="n"/>
      <c r="F487" s="18" t="n"/>
      <c r="G487" s="35">
        <f>IF($E487="","",$E487*$F487/100)</f>
        <v/>
      </c>
      <c r="H487" s="18" t="n"/>
      <c r="I487" s="35">
        <f>IF($E487="","",$E487*$H487/100)</f>
        <v/>
      </c>
      <c r="J487" s="35">
        <f>IF($E487="","",$E487+$G487-$I487)</f>
        <v/>
      </c>
      <c r="K487" s="16" t="n"/>
      <c r="L487" s="20">
        <f>IF($A487="","",ROUNDUP(MONTH($A487)/3,0))</f>
        <v/>
      </c>
    </row>
    <row r="488">
      <c r="A488" s="33" t="n"/>
      <c r="B488" s="16" t="n"/>
      <c r="C488" s="16" t="n"/>
      <c r="D488" s="16" t="n"/>
      <c r="E488" s="34" t="n"/>
      <c r="F488" s="18" t="n"/>
      <c r="G488" s="35">
        <f>IF($E488="","",$E488*$F488/100)</f>
        <v/>
      </c>
      <c r="H488" s="18" t="n"/>
      <c r="I488" s="35">
        <f>IF($E488="","",$E488*$H488/100)</f>
        <v/>
      </c>
      <c r="J488" s="35">
        <f>IF($E488="","",$E488+$G488-$I488)</f>
        <v/>
      </c>
      <c r="K488" s="16" t="n"/>
      <c r="L488" s="20">
        <f>IF($A488="","",ROUNDUP(MONTH($A488)/3,0))</f>
        <v/>
      </c>
    </row>
    <row r="489">
      <c r="A489" s="33" t="n"/>
      <c r="B489" s="16" t="n"/>
      <c r="C489" s="16" t="n"/>
      <c r="D489" s="16" t="n"/>
      <c r="E489" s="34" t="n"/>
      <c r="F489" s="18" t="n"/>
      <c r="G489" s="35">
        <f>IF($E489="","",$E489*$F489/100)</f>
        <v/>
      </c>
      <c r="H489" s="18" t="n"/>
      <c r="I489" s="35">
        <f>IF($E489="","",$E489*$H489/100)</f>
        <v/>
      </c>
      <c r="J489" s="35">
        <f>IF($E489="","",$E489+$G489-$I489)</f>
        <v/>
      </c>
      <c r="K489" s="16" t="n"/>
      <c r="L489" s="20">
        <f>IF($A489="","",ROUNDUP(MONTH($A489)/3,0))</f>
        <v/>
      </c>
    </row>
    <row r="490">
      <c r="A490" s="33" t="n"/>
      <c r="B490" s="16" t="n"/>
      <c r="C490" s="16" t="n"/>
      <c r="D490" s="16" t="n"/>
      <c r="E490" s="34" t="n"/>
      <c r="F490" s="18" t="n"/>
      <c r="G490" s="35">
        <f>IF($E490="","",$E490*$F490/100)</f>
        <v/>
      </c>
      <c r="H490" s="18" t="n"/>
      <c r="I490" s="35">
        <f>IF($E490="","",$E490*$H490/100)</f>
        <v/>
      </c>
      <c r="J490" s="35">
        <f>IF($E490="","",$E490+$G490-$I490)</f>
        <v/>
      </c>
      <c r="K490" s="16" t="n"/>
      <c r="L490" s="20">
        <f>IF($A490="","",ROUNDUP(MONTH($A490)/3,0))</f>
        <v/>
      </c>
    </row>
    <row r="491">
      <c r="A491" s="33" t="n"/>
      <c r="B491" s="16" t="n"/>
      <c r="C491" s="16" t="n"/>
      <c r="D491" s="16" t="n"/>
      <c r="E491" s="34" t="n"/>
      <c r="F491" s="18" t="n"/>
      <c r="G491" s="35">
        <f>IF($E491="","",$E491*$F491/100)</f>
        <v/>
      </c>
      <c r="H491" s="18" t="n"/>
      <c r="I491" s="35">
        <f>IF($E491="","",$E491*$H491/100)</f>
        <v/>
      </c>
      <c r="J491" s="35">
        <f>IF($E491="","",$E491+$G491-$I491)</f>
        <v/>
      </c>
      <c r="K491" s="16" t="n"/>
      <c r="L491" s="20">
        <f>IF($A491="","",ROUNDUP(MONTH($A491)/3,0))</f>
        <v/>
      </c>
    </row>
    <row r="492">
      <c r="A492" s="33" t="n"/>
      <c r="B492" s="16" t="n"/>
      <c r="C492" s="16" t="n"/>
      <c r="D492" s="16" t="n"/>
      <c r="E492" s="34" t="n"/>
      <c r="F492" s="18" t="n"/>
      <c r="G492" s="35">
        <f>IF($E492="","",$E492*$F492/100)</f>
        <v/>
      </c>
      <c r="H492" s="18" t="n"/>
      <c r="I492" s="35">
        <f>IF($E492="","",$E492*$H492/100)</f>
        <v/>
      </c>
      <c r="J492" s="35">
        <f>IF($E492="","",$E492+$G492-$I492)</f>
        <v/>
      </c>
      <c r="K492" s="16" t="n"/>
      <c r="L492" s="20">
        <f>IF($A492="","",ROUNDUP(MONTH($A492)/3,0))</f>
        <v/>
      </c>
    </row>
    <row r="493">
      <c r="A493" s="33" t="n"/>
      <c r="B493" s="16" t="n"/>
      <c r="C493" s="16" t="n"/>
      <c r="D493" s="16" t="n"/>
      <c r="E493" s="34" t="n"/>
      <c r="F493" s="18" t="n"/>
      <c r="G493" s="35">
        <f>IF($E493="","",$E493*$F493/100)</f>
        <v/>
      </c>
      <c r="H493" s="18" t="n"/>
      <c r="I493" s="35">
        <f>IF($E493="","",$E493*$H493/100)</f>
        <v/>
      </c>
      <c r="J493" s="35">
        <f>IF($E493="","",$E493+$G493-$I493)</f>
        <v/>
      </c>
      <c r="K493" s="16" t="n"/>
      <c r="L493" s="20">
        <f>IF($A493="","",ROUNDUP(MONTH($A493)/3,0))</f>
        <v/>
      </c>
    </row>
    <row r="494">
      <c r="A494" s="33" t="n"/>
      <c r="B494" s="16" t="n"/>
      <c r="C494" s="16" t="n"/>
      <c r="D494" s="16" t="n"/>
      <c r="E494" s="34" t="n"/>
      <c r="F494" s="18" t="n"/>
      <c r="G494" s="35">
        <f>IF($E494="","",$E494*$F494/100)</f>
        <v/>
      </c>
      <c r="H494" s="18" t="n"/>
      <c r="I494" s="35">
        <f>IF($E494="","",$E494*$H494/100)</f>
        <v/>
      </c>
      <c r="J494" s="35">
        <f>IF($E494="","",$E494+$G494-$I494)</f>
        <v/>
      </c>
      <c r="K494" s="16" t="n"/>
      <c r="L494" s="20">
        <f>IF($A494="","",ROUNDUP(MONTH($A494)/3,0))</f>
        <v/>
      </c>
    </row>
    <row r="495">
      <c r="A495" s="33" t="n"/>
      <c r="B495" s="16" t="n"/>
      <c r="C495" s="16" t="n"/>
      <c r="D495" s="16" t="n"/>
      <c r="E495" s="34" t="n"/>
      <c r="F495" s="18" t="n"/>
      <c r="G495" s="35">
        <f>IF($E495="","",$E495*$F495/100)</f>
        <v/>
      </c>
      <c r="H495" s="18" t="n"/>
      <c r="I495" s="35">
        <f>IF($E495="","",$E495*$H495/100)</f>
        <v/>
      </c>
      <c r="J495" s="35">
        <f>IF($E495="","",$E495+$G495-$I495)</f>
        <v/>
      </c>
      <c r="K495" s="16" t="n"/>
      <c r="L495" s="20">
        <f>IF($A495="","",ROUNDUP(MONTH($A495)/3,0))</f>
        <v/>
      </c>
    </row>
    <row r="496">
      <c r="A496" s="33" t="n"/>
      <c r="B496" s="16" t="n"/>
      <c r="C496" s="16" t="n"/>
      <c r="D496" s="16" t="n"/>
      <c r="E496" s="34" t="n"/>
      <c r="F496" s="18" t="n"/>
      <c r="G496" s="35">
        <f>IF($E496="","",$E496*$F496/100)</f>
        <v/>
      </c>
      <c r="H496" s="18" t="n"/>
      <c r="I496" s="35">
        <f>IF($E496="","",$E496*$H496/100)</f>
        <v/>
      </c>
      <c r="J496" s="35">
        <f>IF($E496="","",$E496+$G496-$I496)</f>
        <v/>
      </c>
      <c r="K496" s="16" t="n"/>
      <c r="L496" s="20">
        <f>IF($A496="","",ROUNDUP(MONTH($A496)/3,0))</f>
        <v/>
      </c>
    </row>
    <row r="497">
      <c r="A497" s="33" t="n"/>
      <c r="B497" s="16" t="n"/>
      <c r="C497" s="16" t="n"/>
      <c r="D497" s="16" t="n"/>
      <c r="E497" s="34" t="n"/>
      <c r="F497" s="18" t="n"/>
      <c r="G497" s="35">
        <f>IF($E497="","",$E497*$F497/100)</f>
        <v/>
      </c>
      <c r="H497" s="18" t="n"/>
      <c r="I497" s="35">
        <f>IF($E497="","",$E497*$H497/100)</f>
        <v/>
      </c>
      <c r="J497" s="35">
        <f>IF($E497="","",$E497+$G497-$I497)</f>
        <v/>
      </c>
      <c r="K497" s="16" t="n"/>
      <c r="L497" s="20">
        <f>IF($A497="","",ROUNDUP(MONTH($A497)/3,0))</f>
        <v/>
      </c>
    </row>
    <row r="498">
      <c r="A498" s="33" t="n"/>
      <c r="B498" s="16" t="n"/>
      <c r="C498" s="16" t="n"/>
      <c r="D498" s="16" t="n"/>
      <c r="E498" s="34" t="n"/>
      <c r="F498" s="18" t="n"/>
      <c r="G498" s="35">
        <f>IF($E498="","",$E498*$F498/100)</f>
        <v/>
      </c>
      <c r="H498" s="18" t="n"/>
      <c r="I498" s="35">
        <f>IF($E498="","",$E498*$H498/100)</f>
        <v/>
      </c>
      <c r="J498" s="35">
        <f>IF($E498="","",$E498+$G498-$I498)</f>
        <v/>
      </c>
      <c r="K498" s="16" t="n"/>
      <c r="L498" s="20">
        <f>IF($A498="","",ROUNDUP(MONTH($A498)/3,0))</f>
        <v/>
      </c>
    </row>
    <row r="499">
      <c r="A499" s="33" t="n"/>
      <c r="B499" s="16" t="n"/>
      <c r="C499" s="16" t="n"/>
      <c r="D499" s="16" t="n"/>
      <c r="E499" s="34" t="n"/>
      <c r="F499" s="18" t="n"/>
      <c r="G499" s="35">
        <f>IF($E499="","",$E499*$F499/100)</f>
        <v/>
      </c>
      <c r="H499" s="18" t="n"/>
      <c r="I499" s="35">
        <f>IF($E499="","",$E499*$H499/100)</f>
        <v/>
      </c>
      <c r="J499" s="35">
        <f>IF($E499="","",$E499+$G499-$I499)</f>
        <v/>
      </c>
      <c r="K499" s="16" t="n"/>
      <c r="L499" s="20">
        <f>IF($A499="","",ROUNDUP(MONTH($A499)/3,0))</f>
        <v/>
      </c>
    </row>
    <row r="500">
      <c r="A500" s="33" t="n"/>
      <c r="B500" s="16" t="n"/>
      <c r="C500" s="16" t="n"/>
      <c r="D500" s="16" t="n"/>
      <c r="E500" s="34" t="n"/>
      <c r="F500" s="18" t="n"/>
      <c r="G500" s="35">
        <f>IF($E500="","",$E500*$F500/100)</f>
        <v/>
      </c>
      <c r="H500" s="18" t="n"/>
      <c r="I500" s="35">
        <f>IF($E500="","",$E500*$H500/100)</f>
        <v/>
      </c>
      <c r="J500" s="35">
        <f>IF($E500="","",$E500+$G500-$I500)</f>
        <v/>
      </c>
      <c r="K500" s="16" t="n"/>
      <c r="L500" s="20">
        <f>IF($A500="","",ROUNDUP(MONTH($A500)/3,0))</f>
        <v/>
      </c>
    </row>
    <row r="501">
      <c r="A501" s="33" t="n"/>
      <c r="B501" s="16" t="n"/>
      <c r="C501" s="16" t="n"/>
      <c r="D501" s="16" t="n"/>
      <c r="E501" s="34" t="n"/>
      <c r="F501" s="18" t="n"/>
      <c r="G501" s="35">
        <f>IF($E501="","",$E501*$F501/100)</f>
        <v/>
      </c>
      <c r="H501" s="18" t="n"/>
      <c r="I501" s="35">
        <f>IF($E501="","",$E501*$H501/100)</f>
        <v/>
      </c>
      <c r="J501" s="35">
        <f>IF($E501="","",$E501+$G501-$I501)</f>
        <v/>
      </c>
      <c r="K501" s="16" t="n"/>
      <c r="L501" s="20">
        <f>IF($A501="","",ROUNDUP(MONTH($A501)/3,0))</f>
        <v/>
      </c>
    </row>
    <row r="502">
      <c r="A502" s="33" t="n"/>
      <c r="B502" s="16" t="n"/>
      <c r="C502" s="16" t="n"/>
      <c r="D502" s="16" t="n"/>
      <c r="E502" s="34" t="n"/>
      <c r="F502" s="18" t="n"/>
      <c r="G502" s="35">
        <f>IF($E502="","",$E502*$F502/100)</f>
        <v/>
      </c>
      <c r="H502" s="18" t="n"/>
      <c r="I502" s="35">
        <f>IF($E502="","",$E502*$H502/100)</f>
        <v/>
      </c>
      <c r="J502" s="35">
        <f>IF($E502="","",$E502+$G502-$I502)</f>
        <v/>
      </c>
      <c r="K502" s="16" t="n"/>
      <c r="L502" s="20">
        <f>IF($A502="","",ROUNDUP(MONTH($A502)/3,0))</f>
        <v/>
      </c>
    </row>
    <row r="503">
      <c r="A503" s="33" t="n"/>
      <c r="B503" s="16" t="n"/>
      <c r="C503" s="16" t="n"/>
      <c r="D503" s="16" t="n"/>
      <c r="E503" s="34" t="n"/>
      <c r="F503" s="18" t="n"/>
      <c r="G503" s="35">
        <f>IF($E503="","",$E503*$F503/100)</f>
        <v/>
      </c>
      <c r="H503" s="18" t="n"/>
      <c r="I503" s="35">
        <f>IF($E503="","",$E503*$H503/100)</f>
        <v/>
      </c>
      <c r="J503" s="35">
        <f>IF($E503="","",$E503+$G503-$I503)</f>
        <v/>
      </c>
      <c r="K503" s="16" t="n"/>
      <c r="L503" s="20">
        <f>IF($A503="","",ROUNDUP(MONTH($A503)/3,0))</f>
        <v/>
      </c>
    </row>
    <row r="504">
      <c r="A504" s="33" t="n"/>
      <c r="B504" s="16" t="n"/>
      <c r="C504" s="16" t="n"/>
      <c r="D504" s="16" t="n"/>
      <c r="E504" s="34" t="n"/>
      <c r="F504" s="18" t="n"/>
      <c r="G504" s="35">
        <f>IF($E504="","",$E504*$F504/100)</f>
        <v/>
      </c>
      <c r="H504" s="18" t="n"/>
      <c r="I504" s="35">
        <f>IF($E504="","",$E504*$H504/100)</f>
        <v/>
      </c>
      <c r="J504" s="35">
        <f>IF($E504="","",$E504+$G504-$I504)</f>
        <v/>
      </c>
      <c r="K504" s="16" t="n"/>
      <c r="L504" s="20">
        <f>IF($A504="","",ROUNDUP(MONTH($A504)/3,0))</f>
        <v/>
      </c>
    </row>
    <row r="505">
      <c r="A505" s="33" t="n"/>
      <c r="B505" s="16" t="n"/>
      <c r="C505" s="16" t="n"/>
      <c r="D505" s="16" t="n"/>
      <c r="E505" s="34" t="n"/>
      <c r="F505" s="18" t="n"/>
      <c r="G505" s="35">
        <f>IF($E505="","",$E505*$F505/100)</f>
        <v/>
      </c>
      <c r="H505" s="18" t="n"/>
      <c r="I505" s="35">
        <f>IF($E505="","",$E505*$H505/100)</f>
        <v/>
      </c>
      <c r="J505" s="35">
        <f>IF($E505="","",$E505+$G505-$I505)</f>
        <v/>
      </c>
      <c r="K505" s="16" t="n"/>
      <c r="L505" s="20">
        <f>IF($A505="","",ROUNDUP(MONTH($A505)/3,0))</f>
        <v/>
      </c>
    </row>
    <row r="506">
      <c r="A506" s="33" t="n"/>
      <c r="B506" s="16" t="n"/>
      <c r="C506" s="16" t="n"/>
      <c r="D506" s="16" t="n"/>
      <c r="E506" s="34" t="n"/>
      <c r="F506" s="18" t="n"/>
      <c r="G506" s="35">
        <f>IF($E506="","",$E506*$F506/100)</f>
        <v/>
      </c>
      <c r="H506" s="18" t="n"/>
      <c r="I506" s="35">
        <f>IF($E506="","",$E506*$H506/100)</f>
        <v/>
      </c>
      <c r="J506" s="35">
        <f>IF($E506="","",$E506+$G506-$I506)</f>
        <v/>
      </c>
      <c r="K506" s="16" t="n"/>
      <c r="L506" s="20">
        <f>IF($A506="","",ROUNDUP(MONTH($A506)/3,0))</f>
        <v/>
      </c>
    </row>
    <row r="507">
      <c r="A507" s="33" t="n"/>
      <c r="B507" s="16" t="n"/>
      <c r="C507" s="16" t="n"/>
      <c r="D507" s="16" t="n"/>
      <c r="E507" s="34" t="n"/>
      <c r="F507" s="18" t="n"/>
      <c r="G507" s="35">
        <f>IF($E507="","",$E507*$F507/100)</f>
        <v/>
      </c>
      <c r="H507" s="18" t="n"/>
      <c r="I507" s="35">
        <f>IF($E507="","",$E507*$H507/100)</f>
        <v/>
      </c>
      <c r="J507" s="35">
        <f>IF($E507="","",$E507+$G507-$I507)</f>
        <v/>
      </c>
      <c r="K507" s="16" t="n"/>
      <c r="L507" s="20">
        <f>IF($A507="","",ROUNDUP(MONTH($A507)/3,0))</f>
        <v/>
      </c>
    </row>
    <row r="508">
      <c r="A508" s="33" t="n"/>
      <c r="B508" s="16" t="n"/>
      <c r="C508" s="16" t="n"/>
      <c r="D508" s="16" t="n"/>
      <c r="E508" s="34" t="n"/>
      <c r="F508" s="18" t="n"/>
      <c r="G508" s="35">
        <f>IF($E508="","",$E508*$F508/100)</f>
        <v/>
      </c>
      <c r="H508" s="18" t="n"/>
      <c r="I508" s="35">
        <f>IF($E508="","",$E508*$H508/100)</f>
        <v/>
      </c>
      <c r="J508" s="35">
        <f>IF($E508="","",$E508+$G508-$I508)</f>
        <v/>
      </c>
      <c r="K508" s="16" t="n"/>
      <c r="L508" s="20">
        <f>IF($A508="","",ROUNDUP(MONTH($A508)/3,0))</f>
        <v/>
      </c>
    </row>
    <row r="509">
      <c r="A509" s="33" t="n"/>
      <c r="B509" s="16" t="n"/>
      <c r="C509" s="16" t="n"/>
      <c r="D509" s="16" t="n"/>
      <c r="E509" s="34" t="n"/>
      <c r="F509" s="18" t="n"/>
      <c r="G509" s="35">
        <f>IF($E509="","",$E509*$F509/100)</f>
        <v/>
      </c>
      <c r="H509" s="18" t="n"/>
      <c r="I509" s="35">
        <f>IF($E509="","",$E509*$H509/100)</f>
        <v/>
      </c>
      <c r="J509" s="35">
        <f>IF($E509="","",$E509+$G509-$I509)</f>
        <v/>
      </c>
      <c r="K509" s="16" t="n"/>
      <c r="L509" s="20">
        <f>IF($A509="","",ROUNDUP(MONTH($A509)/3,0))</f>
        <v/>
      </c>
    </row>
    <row r="510">
      <c r="A510" s="33" t="n"/>
      <c r="B510" s="16" t="n"/>
      <c r="C510" s="16" t="n"/>
      <c r="D510" s="16" t="n"/>
      <c r="E510" s="34" t="n"/>
      <c r="F510" s="18" t="n"/>
      <c r="G510" s="35">
        <f>IF($E510="","",$E510*$F510/100)</f>
        <v/>
      </c>
      <c r="H510" s="18" t="n"/>
      <c r="I510" s="35">
        <f>IF($E510="","",$E510*$H510/100)</f>
        <v/>
      </c>
      <c r="J510" s="35">
        <f>IF($E510="","",$E510+$G510-$I510)</f>
        <v/>
      </c>
      <c r="K510" s="16" t="n"/>
      <c r="L510" s="20">
        <f>IF($A510="","",ROUNDUP(MONTH($A510)/3,0))</f>
        <v/>
      </c>
    </row>
    <row r="511">
      <c r="A511" s="33" t="n"/>
      <c r="B511" s="16" t="n"/>
      <c r="C511" s="16" t="n"/>
      <c r="D511" s="16" t="n"/>
      <c r="E511" s="34" t="n"/>
      <c r="F511" s="18" t="n"/>
      <c r="G511" s="35">
        <f>IF($E511="","",$E511*$F511/100)</f>
        <v/>
      </c>
      <c r="H511" s="18" t="n"/>
      <c r="I511" s="35">
        <f>IF($E511="","",$E511*$H511/100)</f>
        <v/>
      </c>
      <c r="J511" s="35">
        <f>IF($E511="","",$E511+$G511-$I511)</f>
        <v/>
      </c>
      <c r="K511" s="16" t="n"/>
      <c r="L511" s="20">
        <f>IF($A511="","",ROUNDUP(MONTH($A511)/3,0))</f>
        <v/>
      </c>
    </row>
    <row r="512">
      <c r="A512" s="33" t="n"/>
      <c r="B512" s="16" t="n"/>
      <c r="C512" s="16" t="n"/>
      <c r="D512" s="16" t="n"/>
      <c r="E512" s="34" t="n"/>
      <c r="F512" s="18" t="n"/>
      <c r="G512" s="35">
        <f>IF($E512="","",$E512*$F512/100)</f>
        <v/>
      </c>
      <c r="H512" s="18" t="n"/>
      <c r="I512" s="35">
        <f>IF($E512="","",$E512*$H512/100)</f>
        <v/>
      </c>
      <c r="J512" s="35">
        <f>IF($E512="","",$E512+$G512-$I512)</f>
        <v/>
      </c>
      <c r="K512" s="16" t="n"/>
      <c r="L512" s="20">
        <f>IF($A512="","",ROUNDUP(MONTH($A512)/3,0))</f>
        <v/>
      </c>
    </row>
    <row r="513">
      <c r="A513" s="33" t="n"/>
      <c r="B513" s="16" t="n"/>
      <c r="C513" s="16" t="n"/>
      <c r="D513" s="16" t="n"/>
      <c r="E513" s="34" t="n"/>
      <c r="F513" s="18" t="n"/>
      <c r="G513" s="35">
        <f>IF($E513="","",$E513*$F513/100)</f>
        <v/>
      </c>
      <c r="H513" s="18" t="n"/>
      <c r="I513" s="35">
        <f>IF($E513="","",$E513*$H513/100)</f>
        <v/>
      </c>
      <c r="J513" s="35">
        <f>IF($E513="","",$E513+$G513-$I513)</f>
        <v/>
      </c>
      <c r="K513" s="16" t="n"/>
      <c r="L513" s="20">
        <f>IF($A513="","",ROUNDUP(MONTH($A513)/3,0))</f>
        <v/>
      </c>
    </row>
    <row r="514">
      <c r="A514" s="33" t="n"/>
      <c r="B514" s="16" t="n"/>
      <c r="C514" s="16" t="n"/>
      <c r="D514" s="16" t="n"/>
      <c r="E514" s="34" t="n"/>
      <c r="F514" s="18" t="n"/>
      <c r="G514" s="35">
        <f>IF($E514="","",$E514*$F514/100)</f>
        <v/>
      </c>
      <c r="H514" s="18" t="n"/>
      <c r="I514" s="35">
        <f>IF($E514="","",$E514*$H514/100)</f>
        <v/>
      </c>
      <c r="J514" s="35">
        <f>IF($E514="","",$E514+$G514-$I514)</f>
        <v/>
      </c>
      <c r="K514" s="16" t="n"/>
      <c r="L514" s="20">
        <f>IF($A514="","",ROUNDUP(MONTH($A514)/3,0))</f>
        <v/>
      </c>
    </row>
    <row r="515">
      <c r="A515" s="33" t="n"/>
      <c r="B515" s="16" t="n"/>
      <c r="C515" s="16" t="n"/>
      <c r="D515" s="16" t="n"/>
      <c r="E515" s="34" t="n"/>
      <c r="F515" s="18" t="n"/>
      <c r="G515" s="35">
        <f>IF($E515="","",$E515*$F515/100)</f>
        <v/>
      </c>
      <c r="H515" s="18" t="n"/>
      <c r="I515" s="35">
        <f>IF($E515="","",$E515*$H515/100)</f>
        <v/>
      </c>
      <c r="J515" s="35">
        <f>IF($E515="","",$E515+$G515-$I515)</f>
        <v/>
      </c>
      <c r="K515" s="16" t="n"/>
      <c r="L515" s="20">
        <f>IF($A515="","",ROUNDUP(MONTH($A515)/3,0))</f>
        <v/>
      </c>
    </row>
    <row r="516">
      <c r="A516" s="33" t="n"/>
      <c r="B516" s="16" t="n"/>
      <c r="C516" s="16" t="n"/>
      <c r="D516" s="16" t="n"/>
      <c r="E516" s="34" t="n"/>
      <c r="F516" s="18" t="n"/>
      <c r="G516" s="35">
        <f>IF($E516="","",$E516*$F516/100)</f>
        <v/>
      </c>
      <c r="H516" s="18" t="n"/>
      <c r="I516" s="35">
        <f>IF($E516="","",$E516*$H516/100)</f>
        <v/>
      </c>
      <c r="J516" s="35">
        <f>IF($E516="","",$E516+$G516-$I516)</f>
        <v/>
      </c>
      <c r="K516" s="16" t="n"/>
      <c r="L516" s="20">
        <f>IF($A516="","",ROUNDUP(MONTH($A516)/3,0))</f>
        <v/>
      </c>
    </row>
    <row r="517">
      <c r="A517" s="33" t="n"/>
      <c r="B517" s="16" t="n"/>
      <c r="C517" s="16" t="n"/>
      <c r="D517" s="16" t="n"/>
      <c r="E517" s="34" t="n"/>
      <c r="F517" s="18" t="n"/>
      <c r="G517" s="35">
        <f>IF($E517="","",$E517*$F517/100)</f>
        <v/>
      </c>
      <c r="H517" s="18" t="n"/>
      <c r="I517" s="35">
        <f>IF($E517="","",$E517*$H517/100)</f>
        <v/>
      </c>
      <c r="J517" s="35">
        <f>IF($E517="","",$E517+$G517-$I517)</f>
        <v/>
      </c>
      <c r="K517" s="16" t="n"/>
      <c r="L517" s="20">
        <f>IF($A517="","",ROUNDUP(MONTH($A517)/3,0))</f>
        <v/>
      </c>
    </row>
    <row r="518">
      <c r="A518" s="33" t="n"/>
      <c r="B518" s="16" t="n"/>
      <c r="C518" s="16" t="n"/>
      <c r="D518" s="16" t="n"/>
      <c r="E518" s="34" t="n"/>
      <c r="F518" s="18" t="n"/>
      <c r="G518" s="35">
        <f>IF($E518="","",$E518*$F518/100)</f>
        <v/>
      </c>
      <c r="H518" s="18" t="n"/>
      <c r="I518" s="35">
        <f>IF($E518="","",$E518*$H518/100)</f>
        <v/>
      </c>
      <c r="J518" s="35">
        <f>IF($E518="","",$E518+$G518-$I518)</f>
        <v/>
      </c>
      <c r="K518" s="16" t="n"/>
      <c r="L518" s="20">
        <f>IF($A518="","",ROUNDUP(MONTH($A518)/3,0))</f>
        <v/>
      </c>
    </row>
    <row r="519">
      <c r="A519" s="33" t="n"/>
      <c r="B519" s="16" t="n"/>
      <c r="C519" s="16" t="n"/>
      <c r="D519" s="16" t="n"/>
      <c r="E519" s="34" t="n"/>
      <c r="F519" s="18" t="n"/>
      <c r="G519" s="35">
        <f>IF($E519="","",$E519*$F519/100)</f>
        <v/>
      </c>
      <c r="H519" s="18" t="n"/>
      <c r="I519" s="35">
        <f>IF($E519="","",$E519*$H519/100)</f>
        <v/>
      </c>
      <c r="J519" s="35">
        <f>IF($E519="","",$E519+$G519-$I519)</f>
        <v/>
      </c>
      <c r="K519" s="16" t="n"/>
      <c r="L519" s="20">
        <f>IF($A519="","",ROUNDUP(MONTH($A519)/3,0))</f>
        <v/>
      </c>
    </row>
    <row r="520">
      <c r="A520" s="33" t="n"/>
      <c r="B520" s="16" t="n"/>
      <c r="C520" s="16" t="n"/>
      <c r="D520" s="16" t="n"/>
      <c r="E520" s="34" t="n"/>
      <c r="F520" s="18" t="n"/>
      <c r="G520" s="35">
        <f>IF($E520="","",$E520*$F520/100)</f>
        <v/>
      </c>
      <c r="H520" s="18" t="n"/>
      <c r="I520" s="35">
        <f>IF($E520="","",$E520*$H520/100)</f>
        <v/>
      </c>
      <c r="J520" s="35">
        <f>IF($E520="","",$E520+$G520-$I520)</f>
        <v/>
      </c>
      <c r="K520" s="16" t="n"/>
      <c r="L520" s="20">
        <f>IF($A520="","",ROUNDUP(MONTH($A520)/3,0))</f>
        <v/>
      </c>
    </row>
    <row r="521">
      <c r="A521" s="33" t="n"/>
      <c r="B521" s="16" t="n"/>
      <c r="C521" s="16" t="n"/>
      <c r="D521" s="16" t="n"/>
      <c r="E521" s="34" t="n"/>
      <c r="F521" s="18" t="n"/>
      <c r="G521" s="35">
        <f>IF($E521="","",$E521*$F521/100)</f>
        <v/>
      </c>
      <c r="H521" s="18" t="n"/>
      <c r="I521" s="35">
        <f>IF($E521="","",$E521*$H521/100)</f>
        <v/>
      </c>
      <c r="J521" s="35">
        <f>IF($E521="","",$E521+$G521-$I521)</f>
        <v/>
      </c>
      <c r="K521" s="16" t="n"/>
      <c r="L521" s="20">
        <f>IF($A521="","",ROUNDUP(MONTH($A521)/3,0))</f>
        <v/>
      </c>
    </row>
    <row r="522">
      <c r="A522" s="33" t="n"/>
      <c r="B522" s="16" t="n"/>
      <c r="C522" s="16" t="n"/>
      <c r="D522" s="16" t="n"/>
      <c r="E522" s="34" t="n"/>
      <c r="F522" s="18" t="n"/>
      <c r="G522" s="35">
        <f>IF($E522="","",$E522*$F522/100)</f>
        <v/>
      </c>
      <c r="H522" s="18" t="n"/>
      <c r="I522" s="35">
        <f>IF($E522="","",$E522*$H522/100)</f>
        <v/>
      </c>
      <c r="J522" s="35">
        <f>IF($E522="","",$E522+$G522-$I522)</f>
        <v/>
      </c>
      <c r="K522" s="16" t="n"/>
      <c r="L522" s="20">
        <f>IF($A522="","",ROUNDUP(MONTH($A522)/3,0))</f>
        <v/>
      </c>
    </row>
    <row r="523">
      <c r="A523" s="33" t="n"/>
      <c r="B523" s="16" t="n"/>
      <c r="C523" s="16" t="n"/>
      <c r="D523" s="16" t="n"/>
      <c r="E523" s="34" t="n"/>
      <c r="F523" s="18" t="n"/>
      <c r="G523" s="35">
        <f>IF($E523="","",$E523*$F523/100)</f>
        <v/>
      </c>
      <c r="H523" s="18" t="n"/>
      <c r="I523" s="35">
        <f>IF($E523="","",$E523*$H523/100)</f>
        <v/>
      </c>
      <c r="J523" s="35">
        <f>IF($E523="","",$E523+$G523-$I523)</f>
        <v/>
      </c>
      <c r="K523" s="16" t="n"/>
      <c r="L523" s="20">
        <f>IF($A523="","",ROUNDUP(MONTH($A523)/3,0))</f>
        <v/>
      </c>
    </row>
    <row r="524">
      <c r="A524" s="33" t="n"/>
      <c r="B524" s="16" t="n"/>
      <c r="C524" s="16" t="n"/>
      <c r="D524" s="16" t="n"/>
      <c r="E524" s="34" t="n"/>
      <c r="F524" s="18" t="n"/>
      <c r="G524" s="35">
        <f>IF($E524="","",$E524*$F524/100)</f>
        <v/>
      </c>
      <c r="H524" s="18" t="n"/>
      <c r="I524" s="35">
        <f>IF($E524="","",$E524*$H524/100)</f>
        <v/>
      </c>
      <c r="J524" s="35">
        <f>IF($E524="","",$E524+$G524-$I524)</f>
        <v/>
      </c>
      <c r="K524" s="16" t="n"/>
      <c r="L524" s="20">
        <f>IF($A524="","",ROUNDUP(MONTH($A524)/3,0))</f>
        <v/>
      </c>
    </row>
    <row r="525">
      <c r="A525" s="33" t="n"/>
      <c r="B525" s="16" t="n"/>
      <c r="C525" s="16" t="n"/>
      <c r="D525" s="16" t="n"/>
      <c r="E525" s="34" t="n"/>
      <c r="F525" s="18" t="n"/>
      <c r="G525" s="35">
        <f>IF($E525="","",$E525*$F525/100)</f>
        <v/>
      </c>
      <c r="H525" s="18" t="n"/>
      <c r="I525" s="35">
        <f>IF($E525="","",$E525*$H525/100)</f>
        <v/>
      </c>
      <c r="J525" s="35">
        <f>IF($E525="","",$E525+$G525-$I525)</f>
        <v/>
      </c>
      <c r="K525" s="16" t="n"/>
      <c r="L525" s="20">
        <f>IF($A525="","",ROUNDUP(MONTH($A525)/3,0))</f>
        <v/>
      </c>
    </row>
    <row r="526">
      <c r="A526" s="33" t="n"/>
      <c r="B526" s="16" t="n"/>
      <c r="C526" s="16" t="n"/>
      <c r="D526" s="16" t="n"/>
      <c r="E526" s="34" t="n"/>
      <c r="F526" s="18" t="n"/>
      <c r="G526" s="35">
        <f>IF($E526="","",$E526*$F526/100)</f>
        <v/>
      </c>
      <c r="H526" s="18" t="n"/>
      <c r="I526" s="35">
        <f>IF($E526="","",$E526*$H526/100)</f>
        <v/>
      </c>
      <c r="J526" s="35">
        <f>IF($E526="","",$E526+$G526-$I526)</f>
        <v/>
      </c>
      <c r="K526" s="16" t="n"/>
      <c r="L526" s="20">
        <f>IF($A526="","",ROUNDUP(MONTH($A526)/3,0))</f>
        <v/>
      </c>
    </row>
    <row r="527">
      <c r="A527" s="33" t="n"/>
      <c r="B527" s="16" t="n"/>
      <c r="C527" s="16" t="n"/>
      <c r="D527" s="16" t="n"/>
      <c r="E527" s="34" t="n"/>
      <c r="F527" s="18" t="n"/>
      <c r="G527" s="35">
        <f>IF($E527="","",$E527*$F527/100)</f>
        <v/>
      </c>
      <c r="H527" s="18" t="n"/>
      <c r="I527" s="35">
        <f>IF($E527="","",$E527*$H527/100)</f>
        <v/>
      </c>
      <c r="J527" s="35">
        <f>IF($E527="","",$E527+$G527-$I527)</f>
        <v/>
      </c>
      <c r="K527" s="16" t="n"/>
      <c r="L527" s="20">
        <f>IF($A527="","",ROUNDUP(MONTH($A527)/3,0))</f>
        <v/>
      </c>
    </row>
    <row r="528">
      <c r="A528" s="33" t="n"/>
      <c r="B528" s="16" t="n"/>
      <c r="C528" s="16" t="n"/>
      <c r="D528" s="16" t="n"/>
      <c r="E528" s="34" t="n"/>
      <c r="F528" s="18" t="n"/>
      <c r="G528" s="35">
        <f>IF($E528="","",$E528*$F528/100)</f>
        <v/>
      </c>
      <c r="H528" s="18" t="n"/>
      <c r="I528" s="35">
        <f>IF($E528="","",$E528*$H528/100)</f>
        <v/>
      </c>
      <c r="J528" s="35">
        <f>IF($E528="","",$E528+$G528-$I528)</f>
        <v/>
      </c>
      <c r="K528" s="16" t="n"/>
      <c r="L528" s="20">
        <f>IF($A528="","",ROUNDUP(MONTH($A528)/3,0))</f>
        <v/>
      </c>
    </row>
    <row r="529">
      <c r="A529" s="33" t="n"/>
      <c r="B529" s="16" t="n"/>
      <c r="C529" s="16" t="n"/>
      <c r="D529" s="16" t="n"/>
      <c r="E529" s="34" t="n"/>
      <c r="F529" s="18" t="n"/>
      <c r="G529" s="35">
        <f>IF($E529="","",$E529*$F529/100)</f>
        <v/>
      </c>
      <c r="H529" s="18" t="n"/>
      <c r="I529" s="35">
        <f>IF($E529="","",$E529*$H529/100)</f>
        <v/>
      </c>
      <c r="J529" s="35">
        <f>IF($E529="","",$E529+$G529-$I529)</f>
        <v/>
      </c>
      <c r="K529" s="16" t="n"/>
      <c r="L529" s="20">
        <f>IF($A529="","",ROUNDUP(MONTH($A529)/3,0))</f>
        <v/>
      </c>
    </row>
    <row r="530">
      <c r="A530" s="33" t="n"/>
      <c r="B530" s="16" t="n"/>
      <c r="C530" s="16" t="n"/>
      <c r="D530" s="16" t="n"/>
      <c r="E530" s="34" t="n"/>
      <c r="F530" s="18" t="n"/>
      <c r="G530" s="35">
        <f>IF($E530="","",$E530*$F530/100)</f>
        <v/>
      </c>
      <c r="H530" s="18" t="n"/>
      <c r="I530" s="35">
        <f>IF($E530="","",$E530*$H530/100)</f>
        <v/>
      </c>
      <c r="J530" s="35">
        <f>IF($E530="","",$E530+$G530-$I530)</f>
        <v/>
      </c>
      <c r="K530" s="16" t="n"/>
      <c r="L530" s="20">
        <f>IF($A530="","",ROUNDUP(MONTH($A530)/3,0))</f>
        <v/>
      </c>
    </row>
    <row r="531">
      <c r="A531" s="33" t="n"/>
      <c r="B531" s="16" t="n"/>
      <c r="C531" s="16" t="n"/>
      <c r="D531" s="16" t="n"/>
      <c r="E531" s="34" t="n"/>
      <c r="F531" s="18" t="n"/>
      <c r="G531" s="35">
        <f>IF($E531="","",$E531*$F531/100)</f>
        <v/>
      </c>
      <c r="H531" s="18" t="n"/>
      <c r="I531" s="35">
        <f>IF($E531="","",$E531*$H531/100)</f>
        <v/>
      </c>
      <c r="J531" s="35">
        <f>IF($E531="","",$E531+$G531-$I531)</f>
        <v/>
      </c>
      <c r="K531" s="16" t="n"/>
      <c r="L531" s="20">
        <f>IF($A531="","",ROUNDUP(MONTH($A531)/3,0))</f>
        <v/>
      </c>
    </row>
    <row r="532">
      <c r="A532" s="33" t="n"/>
      <c r="B532" s="16" t="n"/>
      <c r="C532" s="16" t="n"/>
      <c r="D532" s="16" t="n"/>
      <c r="E532" s="34" t="n"/>
      <c r="F532" s="18" t="n"/>
      <c r="G532" s="35">
        <f>IF($E532="","",$E532*$F532/100)</f>
        <v/>
      </c>
      <c r="H532" s="18" t="n"/>
      <c r="I532" s="35">
        <f>IF($E532="","",$E532*$H532/100)</f>
        <v/>
      </c>
      <c r="J532" s="35">
        <f>IF($E532="","",$E532+$G532-$I532)</f>
        <v/>
      </c>
      <c r="K532" s="16" t="n"/>
      <c r="L532" s="20">
        <f>IF($A532="","",ROUNDUP(MONTH($A532)/3,0))</f>
        <v/>
      </c>
    </row>
    <row r="533">
      <c r="A533" s="33" t="n"/>
      <c r="B533" s="16" t="n"/>
      <c r="C533" s="16" t="n"/>
      <c r="D533" s="16" t="n"/>
      <c r="E533" s="34" t="n"/>
      <c r="F533" s="18" t="n"/>
      <c r="G533" s="35">
        <f>IF($E533="","",$E533*$F533/100)</f>
        <v/>
      </c>
      <c r="H533" s="18" t="n"/>
      <c r="I533" s="35">
        <f>IF($E533="","",$E533*$H533/100)</f>
        <v/>
      </c>
      <c r="J533" s="35">
        <f>IF($E533="","",$E533+$G533-$I533)</f>
        <v/>
      </c>
      <c r="K533" s="16" t="n"/>
      <c r="L533" s="20">
        <f>IF($A533="","",ROUNDUP(MONTH($A533)/3,0))</f>
        <v/>
      </c>
    </row>
    <row r="534">
      <c r="A534" s="33" t="n"/>
      <c r="B534" s="16" t="n"/>
      <c r="C534" s="16" t="n"/>
      <c r="D534" s="16" t="n"/>
      <c r="E534" s="34" t="n"/>
      <c r="F534" s="18" t="n"/>
      <c r="G534" s="35">
        <f>IF($E534="","",$E534*$F534/100)</f>
        <v/>
      </c>
      <c r="H534" s="18" t="n"/>
      <c r="I534" s="35">
        <f>IF($E534="","",$E534*$H534/100)</f>
        <v/>
      </c>
      <c r="J534" s="35">
        <f>IF($E534="","",$E534+$G534-$I534)</f>
        <v/>
      </c>
      <c r="K534" s="16" t="n"/>
      <c r="L534" s="20">
        <f>IF($A534="","",ROUNDUP(MONTH($A534)/3,0))</f>
        <v/>
      </c>
    </row>
    <row r="535">
      <c r="A535" s="33" t="n"/>
      <c r="B535" s="16" t="n"/>
      <c r="C535" s="16" t="n"/>
      <c r="D535" s="16" t="n"/>
      <c r="E535" s="34" t="n"/>
      <c r="F535" s="18" t="n"/>
      <c r="G535" s="35">
        <f>IF($E535="","",$E535*$F535/100)</f>
        <v/>
      </c>
      <c r="H535" s="18" t="n"/>
      <c r="I535" s="35">
        <f>IF($E535="","",$E535*$H535/100)</f>
        <v/>
      </c>
      <c r="J535" s="35">
        <f>IF($E535="","",$E535+$G535-$I535)</f>
        <v/>
      </c>
      <c r="K535" s="16" t="n"/>
      <c r="L535" s="20">
        <f>IF($A535="","",ROUNDUP(MONTH($A535)/3,0))</f>
        <v/>
      </c>
    </row>
    <row r="536">
      <c r="A536" s="33" t="n"/>
      <c r="B536" s="16" t="n"/>
      <c r="C536" s="16" t="n"/>
      <c r="D536" s="16" t="n"/>
      <c r="E536" s="34" t="n"/>
      <c r="F536" s="18" t="n"/>
      <c r="G536" s="35">
        <f>IF($E536="","",$E536*$F536/100)</f>
        <v/>
      </c>
      <c r="H536" s="18" t="n"/>
      <c r="I536" s="35">
        <f>IF($E536="","",$E536*$H536/100)</f>
        <v/>
      </c>
      <c r="J536" s="35">
        <f>IF($E536="","",$E536+$G536-$I536)</f>
        <v/>
      </c>
      <c r="K536" s="16" t="n"/>
      <c r="L536" s="20">
        <f>IF($A536="","",ROUNDUP(MONTH($A536)/3,0))</f>
        <v/>
      </c>
    </row>
    <row r="537">
      <c r="A537" s="33" t="n"/>
      <c r="B537" s="16" t="n"/>
      <c r="C537" s="16" t="n"/>
      <c r="D537" s="16" t="n"/>
      <c r="E537" s="34" t="n"/>
      <c r="F537" s="18" t="n"/>
      <c r="G537" s="35">
        <f>IF($E537="","",$E537*$F537/100)</f>
        <v/>
      </c>
      <c r="H537" s="18" t="n"/>
      <c r="I537" s="35">
        <f>IF($E537="","",$E537*$H537/100)</f>
        <v/>
      </c>
      <c r="J537" s="35">
        <f>IF($E537="","",$E537+$G537-$I537)</f>
        <v/>
      </c>
      <c r="K537" s="16" t="n"/>
      <c r="L537" s="20">
        <f>IF($A537="","",ROUNDUP(MONTH($A537)/3,0))</f>
        <v/>
      </c>
    </row>
    <row r="538">
      <c r="A538" s="33" t="n"/>
      <c r="B538" s="16" t="n"/>
      <c r="C538" s="16" t="n"/>
      <c r="D538" s="16" t="n"/>
      <c r="E538" s="34" t="n"/>
      <c r="F538" s="18" t="n"/>
      <c r="G538" s="35">
        <f>IF($E538="","",$E538*$F538/100)</f>
        <v/>
      </c>
      <c r="H538" s="18" t="n"/>
      <c r="I538" s="35">
        <f>IF($E538="","",$E538*$H538/100)</f>
        <v/>
      </c>
      <c r="J538" s="35">
        <f>IF($E538="","",$E538+$G538-$I538)</f>
        <v/>
      </c>
      <c r="K538" s="16" t="n"/>
      <c r="L538" s="20">
        <f>IF($A538="","",ROUNDUP(MONTH($A538)/3,0))</f>
        <v/>
      </c>
    </row>
    <row r="539">
      <c r="A539" s="33" t="n"/>
      <c r="B539" s="16" t="n"/>
      <c r="C539" s="16" t="n"/>
      <c r="D539" s="16" t="n"/>
      <c r="E539" s="34" t="n"/>
      <c r="F539" s="18" t="n"/>
      <c r="G539" s="35">
        <f>IF($E539="","",$E539*$F539/100)</f>
        <v/>
      </c>
      <c r="H539" s="18" t="n"/>
      <c r="I539" s="35">
        <f>IF($E539="","",$E539*$H539/100)</f>
        <v/>
      </c>
      <c r="J539" s="35">
        <f>IF($E539="","",$E539+$G539-$I539)</f>
        <v/>
      </c>
      <c r="K539" s="16" t="n"/>
      <c r="L539" s="20">
        <f>IF($A539="","",ROUNDUP(MONTH($A539)/3,0))</f>
        <v/>
      </c>
    </row>
    <row r="540">
      <c r="A540" s="33" t="n"/>
      <c r="B540" s="16" t="n"/>
      <c r="C540" s="16" t="n"/>
      <c r="D540" s="16" t="n"/>
      <c r="E540" s="34" t="n"/>
      <c r="F540" s="18" t="n"/>
      <c r="G540" s="35">
        <f>IF($E540="","",$E540*$F540/100)</f>
        <v/>
      </c>
      <c r="H540" s="18" t="n"/>
      <c r="I540" s="35">
        <f>IF($E540="","",$E540*$H540/100)</f>
        <v/>
      </c>
      <c r="J540" s="35">
        <f>IF($E540="","",$E540+$G540-$I540)</f>
        <v/>
      </c>
      <c r="K540" s="16" t="n"/>
      <c r="L540" s="20">
        <f>IF($A540="","",ROUNDUP(MONTH($A540)/3,0))</f>
        <v/>
      </c>
    </row>
    <row r="541">
      <c r="A541" s="33" t="n"/>
      <c r="B541" s="16" t="n"/>
      <c r="C541" s="16" t="n"/>
      <c r="D541" s="16" t="n"/>
      <c r="E541" s="34" t="n"/>
      <c r="F541" s="18" t="n"/>
      <c r="G541" s="35">
        <f>IF($E541="","",$E541*$F541/100)</f>
        <v/>
      </c>
      <c r="H541" s="18" t="n"/>
      <c r="I541" s="35">
        <f>IF($E541="","",$E541*$H541/100)</f>
        <v/>
      </c>
      <c r="J541" s="35">
        <f>IF($E541="","",$E541+$G541-$I541)</f>
        <v/>
      </c>
      <c r="K541" s="16" t="n"/>
      <c r="L541" s="20">
        <f>IF($A541="","",ROUNDUP(MONTH($A541)/3,0))</f>
        <v/>
      </c>
    </row>
    <row r="542">
      <c r="A542" s="33" t="n"/>
      <c r="B542" s="16" t="n"/>
      <c r="C542" s="16" t="n"/>
      <c r="D542" s="16" t="n"/>
      <c r="E542" s="34" t="n"/>
      <c r="F542" s="18" t="n"/>
      <c r="G542" s="35">
        <f>IF($E542="","",$E542*$F542/100)</f>
        <v/>
      </c>
      <c r="H542" s="18" t="n"/>
      <c r="I542" s="35">
        <f>IF($E542="","",$E542*$H542/100)</f>
        <v/>
      </c>
      <c r="J542" s="35">
        <f>IF($E542="","",$E542+$G542-$I542)</f>
        <v/>
      </c>
      <c r="K542" s="16" t="n"/>
      <c r="L542" s="20">
        <f>IF($A542="","",ROUNDUP(MONTH($A542)/3,0))</f>
        <v/>
      </c>
    </row>
    <row r="543">
      <c r="A543" s="33" t="n"/>
      <c r="B543" s="16" t="n"/>
      <c r="C543" s="16" t="n"/>
      <c r="D543" s="16" t="n"/>
      <c r="E543" s="34" t="n"/>
      <c r="F543" s="18" t="n"/>
      <c r="G543" s="35">
        <f>IF($E543="","",$E543*$F543/100)</f>
        <v/>
      </c>
      <c r="H543" s="18" t="n"/>
      <c r="I543" s="35">
        <f>IF($E543="","",$E543*$H543/100)</f>
        <v/>
      </c>
      <c r="J543" s="35">
        <f>IF($E543="","",$E543+$G543-$I543)</f>
        <v/>
      </c>
      <c r="K543" s="16" t="n"/>
      <c r="L543" s="20">
        <f>IF($A543="","",ROUNDUP(MONTH($A543)/3,0))</f>
        <v/>
      </c>
    </row>
    <row r="544">
      <c r="A544" s="33" t="n"/>
      <c r="B544" s="16" t="n"/>
      <c r="C544" s="16" t="n"/>
      <c r="D544" s="16" t="n"/>
      <c r="E544" s="34" t="n"/>
      <c r="F544" s="18" t="n"/>
      <c r="G544" s="35">
        <f>IF($E544="","",$E544*$F544/100)</f>
        <v/>
      </c>
      <c r="H544" s="18" t="n"/>
      <c r="I544" s="35">
        <f>IF($E544="","",$E544*$H544/100)</f>
        <v/>
      </c>
      <c r="J544" s="35">
        <f>IF($E544="","",$E544+$G544-$I544)</f>
        <v/>
      </c>
      <c r="K544" s="16" t="n"/>
      <c r="L544" s="20">
        <f>IF($A544="","",ROUNDUP(MONTH($A544)/3,0))</f>
        <v/>
      </c>
    </row>
    <row r="545">
      <c r="A545" s="33" t="n"/>
      <c r="B545" s="16" t="n"/>
      <c r="C545" s="16" t="n"/>
      <c r="D545" s="16" t="n"/>
      <c r="E545" s="34" t="n"/>
      <c r="F545" s="18" t="n"/>
      <c r="G545" s="35">
        <f>IF($E545="","",$E545*$F545/100)</f>
        <v/>
      </c>
      <c r="H545" s="18" t="n"/>
      <c r="I545" s="35">
        <f>IF($E545="","",$E545*$H545/100)</f>
        <v/>
      </c>
      <c r="J545" s="35">
        <f>IF($E545="","",$E545+$G545-$I545)</f>
        <v/>
      </c>
      <c r="K545" s="16" t="n"/>
      <c r="L545" s="20">
        <f>IF($A545="","",ROUNDUP(MONTH($A545)/3,0))</f>
        <v/>
      </c>
    </row>
    <row r="546">
      <c r="A546" s="33" t="n"/>
      <c r="B546" s="16" t="n"/>
      <c r="C546" s="16" t="n"/>
      <c r="D546" s="16" t="n"/>
      <c r="E546" s="34" t="n"/>
      <c r="F546" s="18" t="n"/>
      <c r="G546" s="35">
        <f>IF($E546="","",$E546*$F546/100)</f>
        <v/>
      </c>
      <c r="H546" s="18" t="n"/>
      <c r="I546" s="35">
        <f>IF($E546="","",$E546*$H546/100)</f>
        <v/>
      </c>
      <c r="J546" s="35">
        <f>IF($E546="","",$E546+$G546-$I546)</f>
        <v/>
      </c>
      <c r="K546" s="16" t="n"/>
      <c r="L546" s="20">
        <f>IF($A546="","",ROUNDUP(MONTH($A546)/3,0))</f>
        <v/>
      </c>
    </row>
    <row r="547">
      <c r="A547" s="33" t="n"/>
      <c r="B547" s="16" t="n"/>
      <c r="C547" s="16" t="n"/>
      <c r="D547" s="16" t="n"/>
      <c r="E547" s="34" t="n"/>
      <c r="F547" s="18" t="n"/>
      <c r="G547" s="35">
        <f>IF($E547="","",$E547*$F547/100)</f>
        <v/>
      </c>
      <c r="H547" s="18" t="n"/>
      <c r="I547" s="35">
        <f>IF($E547="","",$E547*$H547/100)</f>
        <v/>
      </c>
      <c r="J547" s="35">
        <f>IF($E547="","",$E547+$G547-$I547)</f>
        <v/>
      </c>
      <c r="K547" s="16" t="n"/>
      <c r="L547" s="20">
        <f>IF($A547="","",ROUNDUP(MONTH($A547)/3,0))</f>
        <v/>
      </c>
    </row>
    <row r="548">
      <c r="A548" s="33" t="n"/>
      <c r="B548" s="16" t="n"/>
      <c r="C548" s="16" t="n"/>
      <c r="D548" s="16" t="n"/>
      <c r="E548" s="34" t="n"/>
      <c r="F548" s="18" t="n"/>
      <c r="G548" s="35">
        <f>IF($E548="","",$E548*$F548/100)</f>
        <v/>
      </c>
      <c r="H548" s="18" t="n"/>
      <c r="I548" s="35">
        <f>IF($E548="","",$E548*$H548/100)</f>
        <v/>
      </c>
      <c r="J548" s="35">
        <f>IF($E548="","",$E548+$G548-$I548)</f>
        <v/>
      </c>
      <c r="K548" s="16" t="n"/>
      <c r="L548" s="20">
        <f>IF($A548="","",ROUNDUP(MONTH($A548)/3,0))</f>
        <v/>
      </c>
    </row>
    <row r="549">
      <c r="A549" s="33" t="n"/>
      <c r="B549" s="16" t="n"/>
      <c r="C549" s="16" t="n"/>
      <c r="D549" s="16" t="n"/>
      <c r="E549" s="34" t="n"/>
      <c r="F549" s="18" t="n"/>
      <c r="G549" s="35">
        <f>IF($E549="","",$E549*$F549/100)</f>
        <v/>
      </c>
      <c r="H549" s="18" t="n"/>
      <c r="I549" s="35">
        <f>IF($E549="","",$E549*$H549/100)</f>
        <v/>
      </c>
      <c r="J549" s="35">
        <f>IF($E549="","",$E549+$G549-$I549)</f>
        <v/>
      </c>
      <c r="K549" s="16" t="n"/>
      <c r="L549" s="20">
        <f>IF($A549="","",ROUNDUP(MONTH($A549)/3,0))</f>
        <v/>
      </c>
    </row>
    <row r="550">
      <c r="A550" s="33" t="n"/>
      <c r="B550" s="16" t="n"/>
      <c r="C550" s="16" t="n"/>
      <c r="D550" s="16" t="n"/>
      <c r="E550" s="34" t="n"/>
      <c r="F550" s="18" t="n"/>
      <c r="G550" s="35">
        <f>IF($E550="","",$E550*$F550/100)</f>
        <v/>
      </c>
      <c r="H550" s="18" t="n"/>
      <c r="I550" s="35">
        <f>IF($E550="","",$E550*$H550/100)</f>
        <v/>
      </c>
      <c r="J550" s="35">
        <f>IF($E550="","",$E550+$G550-$I550)</f>
        <v/>
      </c>
      <c r="K550" s="16" t="n"/>
      <c r="L550" s="20">
        <f>IF($A550="","",ROUNDUP(MONTH($A550)/3,0))</f>
        <v/>
      </c>
    </row>
    <row r="551">
      <c r="A551" s="33" t="n"/>
      <c r="B551" s="16" t="n"/>
      <c r="C551" s="16" t="n"/>
      <c r="D551" s="16" t="n"/>
      <c r="E551" s="34" t="n"/>
      <c r="F551" s="18" t="n"/>
      <c r="G551" s="35">
        <f>IF($E551="","",$E551*$F551/100)</f>
        <v/>
      </c>
      <c r="H551" s="18" t="n"/>
      <c r="I551" s="35">
        <f>IF($E551="","",$E551*$H551/100)</f>
        <v/>
      </c>
      <c r="J551" s="35">
        <f>IF($E551="","",$E551+$G551-$I551)</f>
        <v/>
      </c>
      <c r="K551" s="16" t="n"/>
      <c r="L551" s="20">
        <f>IF($A551="","",ROUNDUP(MONTH($A551)/3,0))</f>
        <v/>
      </c>
    </row>
    <row r="552">
      <c r="A552" s="33" t="n"/>
      <c r="B552" s="16" t="n"/>
      <c r="C552" s="16" t="n"/>
      <c r="D552" s="16" t="n"/>
      <c r="E552" s="34" t="n"/>
      <c r="F552" s="18" t="n"/>
      <c r="G552" s="35">
        <f>IF($E552="","",$E552*$F552/100)</f>
        <v/>
      </c>
      <c r="H552" s="18" t="n"/>
      <c r="I552" s="35">
        <f>IF($E552="","",$E552*$H552/100)</f>
        <v/>
      </c>
      <c r="J552" s="35">
        <f>IF($E552="","",$E552+$G552-$I552)</f>
        <v/>
      </c>
      <c r="K552" s="16" t="n"/>
      <c r="L552" s="20">
        <f>IF($A552="","",ROUNDUP(MONTH($A552)/3,0))</f>
        <v/>
      </c>
    </row>
    <row r="553">
      <c r="A553" s="33" t="n"/>
      <c r="B553" s="16" t="n"/>
      <c r="C553" s="16" t="n"/>
      <c r="D553" s="16" t="n"/>
      <c r="E553" s="34" t="n"/>
      <c r="F553" s="18" t="n"/>
      <c r="G553" s="35">
        <f>IF($E553="","",$E553*$F553/100)</f>
        <v/>
      </c>
      <c r="H553" s="18" t="n"/>
      <c r="I553" s="35">
        <f>IF($E553="","",$E553*$H553/100)</f>
        <v/>
      </c>
      <c r="J553" s="35">
        <f>IF($E553="","",$E553+$G553-$I553)</f>
        <v/>
      </c>
      <c r="K553" s="16" t="n"/>
      <c r="L553" s="20">
        <f>IF($A553="","",ROUNDUP(MONTH($A553)/3,0))</f>
        <v/>
      </c>
    </row>
    <row r="554">
      <c r="A554" s="33" t="n"/>
      <c r="B554" s="16" t="n"/>
      <c r="C554" s="16" t="n"/>
      <c r="D554" s="16" t="n"/>
      <c r="E554" s="34" t="n"/>
      <c r="F554" s="18" t="n"/>
      <c r="G554" s="35">
        <f>IF($E554="","",$E554*$F554/100)</f>
        <v/>
      </c>
      <c r="H554" s="18" t="n"/>
      <c r="I554" s="35">
        <f>IF($E554="","",$E554*$H554/100)</f>
        <v/>
      </c>
      <c r="J554" s="35">
        <f>IF($E554="","",$E554+$G554-$I554)</f>
        <v/>
      </c>
      <c r="K554" s="16" t="n"/>
      <c r="L554" s="20">
        <f>IF($A554="","",ROUNDUP(MONTH($A554)/3,0))</f>
        <v/>
      </c>
    </row>
    <row r="555">
      <c r="A555" s="33" t="n"/>
      <c r="B555" s="16" t="n"/>
      <c r="C555" s="16" t="n"/>
      <c r="D555" s="16" t="n"/>
      <c r="E555" s="34" t="n"/>
      <c r="F555" s="18" t="n"/>
      <c r="G555" s="35">
        <f>IF($E555="","",$E555*$F555/100)</f>
        <v/>
      </c>
      <c r="H555" s="18" t="n"/>
      <c r="I555" s="35">
        <f>IF($E555="","",$E555*$H555/100)</f>
        <v/>
      </c>
      <c r="J555" s="35">
        <f>IF($E555="","",$E555+$G555-$I555)</f>
        <v/>
      </c>
      <c r="K555" s="16" t="n"/>
      <c r="L555" s="20">
        <f>IF($A555="","",ROUNDUP(MONTH($A555)/3,0))</f>
        <v/>
      </c>
    </row>
    <row r="556">
      <c r="A556" s="33" t="n"/>
      <c r="B556" s="16" t="n"/>
      <c r="C556" s="16" t="n"/>
      <c r="D556" s="16" t="n"/>
      <c r="E556" s="34" t="n"/>
      <c r="F556" s="18" t="n"/>
      <c r="G556" s="35">
        <f>IF($E556="","",$E556*$F556/100)</f>
        <v/>
      </c>
      <c r="H556" s="18" t="n"/>
      <c r="I556" s="35">
        <f>IF($E556="","",$E556*$H556/100)</f>
        <v/>
      </c>
      <c r="J556" s="35">
        <f>IF($E556="","",$E556+$G556-$I556)</f>
        <v/>
      </c>
      <c r="K556" s="16" t="n"/>
      <c r="L556" s="20">
        <f>IF($A556="","",ROUNDUP(MONTH($A556)/3,0))</f>
        <v/>
      </c>
    </row>
    <row r="557">
      <c r="A557" s="33" t="n"/>
      <c r="B557" s="16" t="n"/>
      <c r="C557" s="16" t="n"/>
      <c r="D557" s="16" t="n"/>
      <c r="E557" s="34" t="n"/>
      <c r="F557" s="18" t="n"/>
      <c r="G557" s="35">
        <f>IF($E557="","",$E557*$F557/100)</f>
        <v/>
      </c>
      <c r="H557" s="18" t="n"/>
      <c r="I557" s="35">
        <f>IF($E557="","",$E557*$H557/100)</f>
        <v/>
      </c>
      <c r="J557" s="35">
        <f>IF($E557="","",$E557+$G557-$I557)</f>
        <v/>
      </c>
      <c r="K557" s="16" t="n"/>
      <c r="L557" s="20">
        <f>IF($A557="","",ROUNDUP(MONTH($A557)/3,0))</f>
        <v/>
      </c>
    </row>
    <row r="558">
      <c r="A558" s="33" t="n"/>
      <c r="B558" s="16" t="n"/>
      <c r="C558" s="16" t="n"/>
      <c r="D558" s="16" t="n"/>
      <c r="E558" s="34" t="n"/>
      <c r="F558" s="18" t="n"/>
      <c r="G558" s="35">
        <f>IF($E558="","",$E558*$F558/100)</f>
        <v/>
      </c>
      <c r="H558" s="18" t="n"/>
      <c r="I558" s="35">
        <f>IF($E558="","",$E558*$H558/100)</f>
        <v/>
      </c>
      <c r="J558" s="35">
        <f>IF($E558="","",$E558+$G558-$I558)</f>
        <v/>
      </c>
      <c r="K558" s="16" t="n"/>
      <c r="L558" s="20">
        <f>IF($A558="","",ROUNDUP(MONTH($A558)/3,0))</f>
        <v/>
      </c>
    </row>
    <row r="559">
      <c r="A559" s="33" t="n"/>
      <c r="B559" s="16" t="n"/>
      <c r="C559" s="16" t="n"/>
      <c r="D559" s="16" t="n"/>
      <c r="E559" s="34" t="n"/>
      <c r="F559" s="18" t="n"/>
      <c r="G559" s="35">
        <f>IF($E559="","",$E559*$F559/100)</f>
        <v/>
      </c>
      <c r="H559" s="18" t="n"/>
      <c r="I559" s="35">
        <f>IF($E559="","",$E559*$H559/100)</f>
        <v/>
      </c>
      <c r="J559" s="35">
        <f>IF($E559="","",$E559+$G559-$I559)</f>
        <v/>
      </c>
      <c r="K559" s="16" t="n"/>
      <c r="L559" s="20">
        <f>IF($A559="","",ROUNDUP(MONTH($A559)/3,0))</f>
        <v/>
      </c>
    </row>
    <row r="560">
      <c r="A560" s="33" t="n"/>
      <c r="B560" s="16" t="n"/>
      <c r="C560" s="16" t="n"/>
      <c r="D560" s="16" t="n"/>
      <c r="E560" s="34" t="n"/>
      <c r="F560" s="18" t="n"/>
      <c r="G560" s="35">
        <f>IF($E560="","",$E560*$F560/100)</f>
        <v/>
      </c>
      <c r="H560" s="18" t="n"/>
      <c r="I560" s="35">
        <f>IF($E560="","",$E560*$H560/100)</f>
        <v/>
      </c>
      <c r="J560" s="35">
        <f>IF($E560="","",$E560+$G560-$I560)</f>
        <v/>
      </c>
      <c r="K560" s="16" t="n"/>
      <c r="L560" s="20">
        <f>IF($A560="","",ROUNDUP(MONTH($A560)/3,0))</f>
        <v/>
      </c>
    </row>
    <row r="561">
      <c r="A561" s="33" t="n"/>
      <c r="B561" s="16" t="n"/>
      <c r="C561" s="16" t="n"/>
      <c r="D561" s="16" t="n"/>
      <c r="E561" s="34" t="n"/>
      <c r="F561" s="18" t="n"/>
      <c r="G561" s="35">
        <f>IF($E561="","",$E561*$F561/100)</f>
        <v/>
      </c>
      <c r="H561" s="18" t="n"/>
      <c r="I561" s="35">
        <f>IF($E561="","",$E561*$H561/100)</f>
        <v/>
      </c>
      <c r="J561" s="35">
        <f>IF($E561="","",$E561+$G561-$I561)</f>
        <v/>
      </c>
      <c r="K561" s="16" t="n"/>
      <c r="L561" s="20">
        <f>IF($A561="","",ROUNDUP(MONTH($A561)/3,0))</f>
        <v/>
      </c>
    </row>
    <row r="562">
      <c r="A562" s="33" t="n"/>
      <c r="B562" s="16" t="n"/>
      <c r="C562" s="16" t="n"/>
      <c r="D562" s="16" t="n"/>
      <c r="E562" s="34" t="n"/>
      <c r="F562" s="18" t="n"/>
      <c r="G562" s="35">
        <f>IF($E562="","",$E562*$F562/100)</f>
        <v/>
      </c>
      <c r="H562" s="18" t="n"/>
      <c r="I562" s="35">
        <f>IF($E562="","",$E562*$H562/100)</f>
        <v/>
      </c>
      <c r="J562" s="35">
        <f>IF($E562="","",$E562+$G562-$I562)</f>
        <v/>
      </c>
      <c r="K562" s="16" t="n"/>
      <c r="L562" s="20">
        <f>IF($A562="","",ROUNDUP(MONTH($A562)/3,0))</f>
        <v/>
      </c>
    </row>
    <row r="563">
      <c r="A563" s="33" t="n"/>
      <c r="B563" s="16" t="n"/>
      <c r="C563" s="16" t="n"/>
      <c r="D563" s="16" t="n"/>
      <c r="E563" s="34" t="n"/>
      <c r="F563" s="18" t="n"/>
      <c r="G563" s="35">
        <f>IF($E563="","",$E563*$F563/100)</f>
        <v/>
      </c>
      <c r="H563" s="18" t="n"/>
      <c r="I563" s="35">
        <f>IF($E563="","",$E563*$H563/100)</f>
        <v/>
      </c>
      <c r="J563" s="35">
        <f>IF($E563="","",$E563+$G563-$I563)</f>
        <v/>
      </c>
      <c r="K563" s="16" t="n"/>
      <c r="L563" s="20">
        <f>IF($A563="","",ROUNDUP(MONTH($A563)/3,0))</f>
        <v/>
      </c>
    </row>
    <row r="564">
      <c r="A564" s="33" t="n"/>
      <c r="B564" s="16" t="n"/>
      <c r="C564" s="16" t="n"/>
      <c r="D564" s="16" t="n"/>
      <c r="E564" s="34" t="n"/>
      <c r="F564" s="18" t="n"/>
      <c r="G564" s="35">
        <f>IF($E564="","",$E564*$F564/100)</f>
        <v/>
      </c>
      <c r="H564" s="18" t="n"/>
      <c r="I564" s="35">
        <f>IF($E564="","",$E564*$H564/100)</f>
        <v/>
      </c>
      <c r="J564" s="35">
        <f>IF($E564="","",$E564+$G564-$I564)</f>
        <v/>
      </c>
      <c r="K564" s="16" t="n"/>
      <c r="L564" s="20">
        <f>IF($A564="","",ROUNDUP(MONTH($A564)/3,0))</f>
        <v/>
      </c>
    </row>
    <row r="565">
      <c r="A565" s="33" t="n"/>
      <c r="B565" s="16" t="n"/>
      <c r="C565" s="16" t="n"/>
      <c r="D565" s="16" t="n"/>
      <c r="E565" s="34" t="n"/>
      <c r="F565" s="18" t="n"/>
      <c r="G565" s="35">
        <f>IF($E565="","",$E565*$F565/100)</f>
        <v/>
      </c>
      <c r="H565" s="18" t="n"/>
      <c r="I565" s="35">
        <f>IF($E565="","",$E565*$H565/100)</f>
        <v/>
      </c>
      <c r="J565" s="35">
        <f>IF($E565="","",$E565+$G565-$I565)</f>
        <v/>
      </c>
      <c r="K565" s="16" t="n"/>
      <c r="L565" s="20">
        <f>IF($A565="","",ROUNDUP(MONTH($A565)/3,0))</f>
        <v/>
      </c>
    </row>
    <row r="566">
      <c r="A566" s="33" t="n"/>
      <c r="B566" s="16" t="n"/>
      <c r="C566" s="16" t="n"/>
      <c r="D566" s="16" t="n"/>
      <c r="E566" s="34" t="n"/>
      <c r="F566" s="18" t="n"/>
      <c r="G566" s="35">
        <f>IF($E566="","",$E566*$F566/100)</f>
        <v/>
      </c>
      <c r="H566" s="18" t="n"/>
      <c r="I566" s="35">
        <f>IF($E566="","",$E566*$H566/100)</f>
        <v/>
      </c>
      <c r="J566" s="35">
        <f>IF($E566="","",$E566+$G566-$I566)</f>
        <v/>
      </c>
      <c r="K566" s="16" t="n"/>
      <c r="L566" s="20">
        <f>IF($A566="","",ROUNDUP(MONTH($A566)/3,0))</f>
        <v/>
      </c>
    </row>
    <row r="567">
      <c r="A567" s="33" t="n"/>
      <c r="B567" s="16" t="n"/>
      <c r="C567" s="16" t="n"/>
      <c r="D567" s="16" t="n"/>
      <c r="E567" s="34" t="n"/>
      <c r="F567" s="18" t="n"/>
      <c r="G567" s="35">
        <f>IF($E567="","",$E567*$F567/100)</f>
        <v/>
      </c>
      <c r="H567" s="18" t="n"/>
      <c r="I567" s="35">
        <f>IF($E567="","",$E567*$H567/100)</f>
        <v/>
      </c>
      <c r="J567" s="35">
        <f>IF($E567="","",$E567+$G567-$I567)</f>
        <v/>
      </c>
      <c r="K567" s="16" t="n"/>
      <c r="L567" s="20">
        <f>IF($A567="","",ROUNDUP(MONTH($A567)/3,0))</f>
        <v/>
      </c>
    </row>
    <row r="568">
      <c r="A568" s="33" t="n"/>
      <c r="B568" s="16" t="n"/>
      <c r="C568" s="16" t="n"/>
      <c r="D568" s="16" t="n"/>
      <c r="E568" s="34" t="n"/>
      <c r="F568" s="18" t="n"/>
      <c r="G568" s="35">
        <f>IF($E568="","",$E568*$F568/100)</f>
        <v/>
      </c>
      <c r="H568" s="18" t="n"/>
      <c r="I568" s="35">
        <f>IF($E568="","",$E568*$H568/100)</f>
        <v/>
      </c>
      <c r="J568" s="35">
        <f>IF($E568="","",$E568+$G568-$I568)</f>
        <v/>
      </c>
      <c r="K568" s="16" t="n"/>
      <c r="L568" s="20">
        <f>IF($A568="","",ROUNDUP(MONTH($A568)/3,0))</f>
        <v/>
      </c>
    </row>
    <row r="569">
      <c r="A569" s="33" t="n"/>
      <c r="B569" s="16" t="n"/>
      <c r="C569" s="16" t="n"/>
      <c r="D569" s="16" t="n"/>
      <c r="E569" s="34" t="n"/>
      <c r="F569" s="18" t="n"/>
      <c r="G569" s="35">
        <f>IF($E569="","",$E569*$F569/100)</f>
        <v/>
      </c>
      <c r="H569" s="18" t="n"/>
      <c r="I569" s="35">
        <f>IF($E569="","",$E569*$H569/100)</f>
        <v/>
      </c>
      <c r="J569" s="35">
        <f>IF($E569="","",$E569+$G569-$I569)</f>
        <v/>
      </c>
      <c r="K569" s="16" t="n"/>
      <c r="L569" s="20">
        <f>IF($A569="","",ROUNDUP(MONTH($A569)/3,0))</f>
        <v/>
      </c>
    </row>
    <row r="570">
      <c r="A570" s="33" t="n"/>
      <c r="B570" s="16" t="n"/>
      <c r="C570" s="16" t="n"/>
      <c r="D570" s="16" t="n"/>
      <c r="E570" s="34" t="n"/>
      <c r="F570" s="18" t="n"/>
      <c r="G570" s="35">
        <f>IF($E570="","",$E570*$F570/100)</f>
        <v/>
      </c>
      <c r="H570" s="18" t="n"/>
      <c r="I570" s="35">
        <f>IF($E570="","",$E570*$H570/100)</f>
        <v/>
      </c>
      <c r="J570" s="35">
        <f>IF($E570="","",$E570+$G570-$I570)</f>
        <v/>
      </c>
      <c r="K570" s="16" t="n"/>
      <c r="L570" s="20">
        <f>IF($A570="","",ROUNDUP(MONTH($A570)/3,0))</f>
        <v/>
      </c>
    </row>
    <row r="571">
      <c r="A571" s="33" t="n"/>
      <c r="B571" s="16" t="n"/>
      <c r="C571" s="16" t="n"/>
      <c r="D571" s="16" t="n"/>
      <c r="E571" s="34" t="n"/>
      <c r="F571" s="18" t="n"/>
      <c r="G571" s="35">
        <f>IF($E571="","",$E571*$F571/100)</f>
        <v/>
      </c>
      <c r="H571" s="18" t="n"/>
      <c r="I571" s="35">
        <f>IF($E571="","",$E571*$H571/100)</f>
        <v/>
      </c>
      <c r="J571" s="35">
        <f>IF($E571="","",$E571+$G571-$I571)</f>
        <v/>
      </c>
      <c r="K571" s="16" t="n"/>
      <c r="L571" s="20">
        <f>IF($A571="","",ROUNDUP(MONTH($A571)/3,0))</f>
        <v/>
      </c>
    </row>
    <row r="572">
      <c r="A572" s="33" t="n"/>
      <c r="B572" s="16" t="n"/>
      <c r="C572" s="16" t="n"/>
      <c r="D572" s="16" t="n"/>
      <c r="E572" s="34" t="n"/>
      <c r="F572" s="18" t="n"/>
      <c r="G572" s="35">
        <f>IF($E572="","",$E572*$F572/100)</f>
        <v/>
      </c>
      <c r="H572" s="18" t="n"/>
      <c r="I572" s="35">
        <f>IF($E572="","",$E572*$H572/100)</f>
        <v/>
      </c>
      <c r="J572" s="35">
        <f>IF($E572="","",$E572+$G572-$I572)</f>
        <v/>
      </c>
      <c r="K572" s="16" t="n"/>
      <c r="L572" s="20">
        <f>IF($A572="","",ROUNDUP(MONTH($A572)/3,0))</f>
        <v/>
      </c>
    </row>
    <row r="573">
      <c r="A573" s="33" t="n"/>
      <c r="B573" s="16" t="n"/>
      <c r="C573" s="16" t="n"/>
      <c r="D573" s="16" t="n"/>
      <c r="E573" s="34" t="n"/>
      <c r="F573" s="18" t="n"/>
      <c r="G573" s="35">
        <f>IF($E573="","",$E573*$F573/100)</f>
        <v/>
      </c>
      <c r="H573" s="18" t="n"/>
      <c r="I573" s="35">
        <f>IF($E573="","",$E573*$H573/100)</f>
        <v/>
      </c>
      <c r="J573" s="35">
        <f>IF($E573="","",$E573+$G573-$I573)</f>
        <v/>
      </c>
      <c r="K573" s="16" t="n"/>
      <c r="L573" s="20">
        <f>IF($A573="","",ROUNDUP(MONTH($A573)/3,0))</f>
        <v/>
      </c>
    </row>
    <row r="574">
      <c r="A574" s="33" t="n"/>
      <c r="B574" s="16" t="n"/>
      <c r="C574" s="16" t="n"/>
      <c r="D574" s="16" t="n"/>
      <c r="E574" s="34" t="n"/>
      <c r="F574" s="18" t="n"/>
      <c r="G574" s="35">
        <f>IF($E574="","",$E574*$F574/100)</f>
        <v/>
      </c>
      <c r="H574" s="18" t="n"/>
      <c r="I574" s="35">
        <f>IF($E574="","",$E574*$H574/100)</f>
        <v/>
      </c>
      <c r="J574" s="35">
        <f>IF($E574="","",$E574+$G574-$I574)</f>
        <v/>
      </c>
      <c r="K574" s="16" t="n"/>
      <c r="L574" s="20">
        <f>IF($A574="","",ROUNDUP(MONTH($A574)/3,0))</f>
        <v/>
      </c>
    </row>
    <row r="575">
      <c r="A575" s="33" t="n"/>
      <c r="B575" s="16" t="n"/>
      <c r="C575" s="16" t="n"/>
      <c r="D575" s="16" t="n"/>
      <c r="E575" s="34" t="n"/>
      <c r="F575" s="18" t="n"/>
      <c r="G575" s="35">
        <f>IF($E575="","",$E575*$F575/100)</f>
        <v/>
      </c>
      <c r="H575" s="18" t="n"/>
      <c r="I575" s="35">
        <f>IF($E575="","",$E575*$H575/100)</f>
        <v/>
      </c>
      <c r="J575" s="35">
        <f>IF($E575="","",$E575+$G575-$I575)</f>
        <v/>
      </c>
      <c r="K575" s="16" t="n"/>
      <c r="L575" s="20">
        <f>IF($A575="","",ROUNDUP(MONTH($A575)/3,0))</f>
        <v/>
      </c>
    </row>
    <row r="576">
      <c r="A576" s="33" t="n"/>
      <c r="B576" s="16" t="n"/>
      <c r="C576" s="16" t="n"/>
      <c r="D576" s="16" t="n"/>
      <c r="E576" s="34" t="n"/>
      <c r="F576" s="18" t="n"/>
      <c r="G576" s="35">
        <f>IF($E576="","",$E576*$F576/100)</f>
        <v/>
      </c>
      <c r="H576" s="18" t="n"/>
      <c r="I576" s="35">
        <f>IF($E576="","",$E576*$H576/100)</f>
        <v/>
      </c>
      <c r="J576" s="35">
        <f>IF($E576="","",$E576+$G576-$I576)</f>
        <v/>
      </c>
      <c r="K576" s="16" t="n"/>
      <c r="L576" s="20">
        <f>IF($A576="","",ROUNDUP(MONTH($A576)/3,0))</f>
        <v/>
      </c>
    </row>
    <row r="577">
      <c r="A577" s="33" t="n"/>
      <c r="B577" s="16" t="n"/>
      <c r="C577" s="16" t="n"/>
      <c r="D577" s="16" t="n"/>
      <c r="E577" s="34" t="n"/>
      <c r="F577" s="18" t="n"/>
      <c r="G577" s="35">
        <f>IF($E577="","",$E577*$F577/100)</f>
        <v/>
      </c>
      <c r="H577" s="18" t="n"/>
      <c r="I577" s="35">
        <f>IF($E577="","",$E577*$H577/100)</f>
        <v/>
      </c>
      <c r="J577" s="35">
        <f>IF($E577="","",$E577+$G577-$I577)</f>
        <v/>
      </c>
      <c r="K577" s="16" t="n"/>
      <c r="L577" s="20">
        <f>IF($A577="","",ROUNDUP(MONTH($A577)/3,0))</f>
        <v/>
      </c>
    </row>
    <row r="578">
      <c r="A578" s="33" t="n"/>
      <c r="B578" s="16" t="n"/>
      <c r="C578" s="16" t="n"/>
      <c r="D578" s="16" t="n"/>
      <c r="E578" s="34" t="n"/>
      <c r="F578" s="18" t="n"/>
      <c r="G578" s="35">
        <f>IF($E578="","",$E578*$F578/100)</f>
        <v/>
      </c>
      <c r="H578" s="18" t="n"/>
      <c r="I578" s="35">
        <f>IF($E578="","",$E578*$H578/100)</f>
        <v/>
      </c>
      <c r="J578" s="35">
        <f>IF($E578="","",$E578+$G578-$I578)</f>
        <v/>
      </c>
      <c r="K578" s="16" t="n"/>
      <c r="L578" s="20">
        <f>IF($A578="","",ROUNDUP(MONTH($A578)/3,0))</f>
        <v/>
      </c>
    </row>
    <row r="579">
      <c r="A579" s="33" t="n"/>
      <c r="B579" s="16" t="n"/>
      <c r="C579" s="16" t="n"/>
      <c r="D579" s="16" t="n"/>
      <c r="E579" s="34" t="n"/>
      <c r="F579" s="18" t="n"/>
      <c r="G579" s="35">
        <f>IF($E579="","",$E579*$F579/100)</f>
        <v/>
      </c>
      <c r="H579" s="18" t="n"/>
      <c r="I579" s="35">
        <f>IF($E579="","",$E579*$H579/100)</f>
        <v/>
      </c>
      <c r="J579" s="35">
        <f>IF($E579="","",$E579+$G579-$I579)</f>
        <v/>
      </c>
      <c r="K579" s="16" t="n"/>
      <c r="L579" s="20">
        <f>IF($A579="","",ROUNDUP(MONTH($A579)/3,0))</f>
        <v/>
      </c>
    </row>
    <row r="580">
      <c r="A580" s="33" t="n"/>
      <c r="B580" s="16" t="n"/>
      <c r="C580" s="16" t="n"/>
      <c r="D580" s="16" t="n"/>
      <c r="E580" s="34" t="n"/>
      <c r="F580" s="18" t="n"/>
      <c r="G580" s="35">
        <f>IF($E580="","",$E580*$F580/100)</f>
        <v/>
      </c>
      <c r="H580" s="18" t="n"/>
      <c r="I580" s="35">
        <f>IF($E580="","",$E580*$H580/100)</f>
        <v/>
      </c>
      <c r="J580" s="35">
        <f>IF($E580="","",$E580+$G580-$I580)</f>
        <v/>
      </c>
      <c r="K580" s="16" t="n"/>
      <c r="L580" s="20">
        <f>IF($A580="","",ROUNDUP(MONTH($A580)/3,0))</f>
        <v/>
      </c>
    </row>
    <row r="581">
      <c r="A581" s="33" t="n"/>
      <c r="B581" s="16" t="n"/>
      <c r="C581" s="16" t="n"/>
      <c r="D581" s="16" t="n"/>
      <c r="E581" s="34" t="n"/>
      <c r="F581" s="18" t="n"/>
      <c r="G581" s="35">
        <f>IF($E581="","",$E581*$F581/100)</f>
        <v/>
      </c>
      <c r="H581" s="18" t="n"/>
      <c r="I581" s="35">
        <f>IF($E581="","",$E581*$H581/100)</f>
        <v/>
      </c>
      <c r="J581" s="35">
        <f>IF($E581="","",$E581+$G581-$I581)</f>
        <v/>
      </c>
      <c r="K581" s="16" t="n"/>
      <c r="L581" s="20">
        <f>IF($A581="","",ROUNDUP(MONTH($A581)/3,0))</f>
        <v/>
      </c>
    </row>
    <row r="582">
      <c r="A582" s="33" t="n"/>
      <c r="B582" s="16" t="n"/>
      <c r="C582" s="16" t="n"/>
      <c r="D582" s="16" t="n"/>
      <c r="E582" s="34" t="n"/>
      <c r="F582" s="18" t="n"/>
      <c r="G582" s="35">
        <f>IF($E582="","",$E582*$F582/100)</f>
        <v/>
      </c>
      <c r="H582" s="18" t="n"/>
      <c r="I582" s="35">
        <f>IF($E582="","",$E582*$H582/100)</f>
        <v/>
      </c>
      <c r="J582" s="35">
        <f>IF($E582="","",$E582+$G582-$I582)</f>
        <v/>
      </c>
      <c r="K582" s="16" t="n"/>
      <c r="L582" s="20">
        <f>IF($A582="","",ROUNDUP(MONTH($A582)/3,0))</f>
        <v/>
      </c>
    </row>
    <row r="583">
      <c r="A583" s="33" t="n"/>
      <c r="B583" s="16" t="n"/>
      <c r="C583" s="16" t="n"/>
      <c r="D583" s="16" t="n"/>
      <c r="E583" s="34" t="n"/>
      <c r="F583" s="18" t="n"/>
      <c r="G583" s="35">
        <f>IF($E583="","",$E583*$F583/100)</f>
        <v/>
      </c>
      <c r="H583" s="18" t="n"/>
      <c r="I583" s="35">
        <f>IF($E583="","",$E583*$H583/100)</f>
        <v/>
      </c>
      <c r="J583" s="35">
        <f>IF($E583="","",$E583+$G583-$I583)</f>
        <v/>
      </c>
      <c r="K583" s="16" t="n"/>
      <c r="L583" s="20">
        <f>IF($A583="","",ROUNDUP(MONTH($A583)/3,0))</f>
        <v/>
      </c>
    </row>
    <row r="584">
      <c r="A584" s="33" t="n"/>
      <c r="B584" s="16" t="n"/>
      <c r="C584" s="16" t="n"/>
      <c r="D584" s="16" t="n"/>
      <c r="E584" s="34" t="n"/>
      <c r="F584" s="18" t="n"/>
      <c r="G584" s="35">
        <f>IF($E584="","",$E584*$F584/100)</f>
        <v/>
      </c>
      <c r="H584" s="18" t="n"/>
      <c r="I584" s="35">
        <f>IF($E584="","",$E584*$H584/100)</f>
        <v/>
      </c>
      <c r="J584" s="35">
        <f>IF($E584="","",$E584+$G584-$I584)</f>
        <v/>
      </c>
      <c r="K584" s="16" t="n"/>
      <c r="L584" s="20">
        <f>IF($A584="","",ROUNDUP(MONTH($A584)/3,0))</f>
        <v/>
      </c>
    </row>
    <row r="585">
      <c r="A585" s="33" t="n"/>
      <c r="B585" s="16" t="n"/>
      <c r="C585" s="16" t="n"/>
      <c r="D585" s="16" t="n"/>
      <c r="E585" s="34" t="n"/>
      <c r="F585" s="18" t="n"/>
      <c r="G585" s="35">
        <f>IF($E585="","",$E585*$F585/100)</f>
        <v/>
      </c>
      <c r="H585" s="18" t="n"/>
      <c r="I585" s="35">
        <f>IF($E585="","",$E585*$H585/100)</f>
        <v/>
      </c>
      <c r="J585" s="35">
        <f>IF($E585="","",$E585+$G585-$I585)</f>
        <v/>
      </c>
      <c r="K585" s="16" t="n"/>
      <c r="L585" s="20">
        <f>IF($A585="","",ROUNDUP(MONTH($A585)/3,0))</f>
        <v/>
      </c>
    </row>
    <row r="586">
      <c r="A586" s="33" t="n"/>
      <c r="B586" s="16" t="n"/>
      <c r="C586" s="16" t="n"/>
      <c r="D586" s="16" t="n"/>
      <c r="E586" s="34" t="n"/>
      <c r="F586" s="18" t="n"/>
      <c r="G586" s="35">
        <f>IF($E586="","",$E586*$F586/100)</f>
        <v/>
      </c>
      <c r="H586" s="18" t="n"/>
      <c r="I586" s="35">
        <f>IF($E586="","",$E586*$H586/100)</f>
        <v/>
      </c>
      <c r="J586" s="35">
        <f>IF($E586="","",$E586+$G586-$I586)</f>
        <v/>
      </c>
      <c r="K586" s="16" t="n"/>
      <c r="L586" s="20">
        <f>IF($A586="","",ROUNDUP(MONTH($A586)/3,0))</f>
        <v/>
      </c>
    </row>
    <row r="587">
      <c r="A587" s="33" t="n"/>
      <c r="B587" s="16" t="n"/>
      <c r="C587" s="16" t="n"/>
      <c r="D587" s="16" t="n"/>
      <c r="E587" s="34" t="n"/>
      <c r="F587" s="18" t="n"/>
      <c r="G587" s="35">
        <f>IF($E587="","",$E587*$F587/100)</f>
        <v/>
      </c>
      <c r="H587" s="18" t="n"/>
      <c r="I587" s="35">
        <f>IF($E587="","",$E587*$H587/100)</f>
        <v/>
      </c>
      <c r="J587" s="35">
        <f>IF($E587="","",$E587+$G587-$I587)</f>
        <v/>
      </c>
      <c r="K587" s="16" t="n"/>
      <c r="L587" s="20">
        <f>IF($A587="","",ROUNDUP(MONTH($A587)/3,0))</f>
        <v/>
      </c>
    </row>
    <row r="588">
      <c r="A588" s="33" t="n"/>
      <c r="B588" s="16" t="n"/>
      <c r="C588" s="16" t="n"/>
      <c r="D588" s="16" t="n"/>
      <c r="E588" s="34" t="n"/>
      <c r="F588" s="18" t="n"/>
      <c r="G588" s="35">
        <f>IF($E588="","",$E588*$F588/100)</f>
        <v/>
      </c>
      <c r="H588" s="18" t="n"/>
      <c r="I588" s="35">
        <f>IF($E588="","",$E588*$H588/100)</f>
        <v/>
      </c>
      <c r="J588" s="35">
        <f>IF($E588="","",$E588+$G588-$I588)</f>
        <v/>
      </c>
      <c r="K588" s="16" t="n"/>
      <c r="L588" s="20">
        <f>IF($A588="","",ROUNDUP(MONTH($A588)/3,0))</f>
        <v/>
      </c>
    </row>
    <row r="589">
      <c r="A589" s="33" t="n"/>
      <c r="B589" s="16" t="n"/>
      <c r="C589" s="16" t="n"/>
      <c r="D589" s="16" t="n"/>
      <c r="E589" s="34" t="n"/>
      <c r="F589" s="18" t="n"/>
      <c r="G589" s="35">
        <f>IF($E589="","",$E589*$F589/100)</f>
        <v/>
      </c>
      <c r="H589" s="18" t="n"/>
      <c r="I589" s="35">
        <f>IF($E589="","",$E589*$H589/100)</f>
        <v/>
      </c>
      <c r="J589" s="35">
        <f>IF($E589="","",$E589+$G589-$I589)</f>
        <v/>
      </c>
      <c r="K589" s="16" t="n"/>
      <c r="L589" s="20">
        <f>IF($A589="","",ROUNDUP(MONTH($A589)/3,0))</f>
        <v/>
      </c>
    </row>
    <row r="590">
      <c r="A590" s="33" t="n"/>
      <c r="B590" s="16" t="n"/>
      <c r="C590" s="16" t="n"/>
      <c r="D590" s="16" t="n"/>
      <c r="E590" s="34" t="n"/>
      <c r="F590" s="18" t="n"/>
      <c r="G590" s="35">
        <f>IF($E590="","",$E590*$F590/100)</f>
        <v/>
      </c>
      <c r="H590" s="18" t="n"/>
      <c r="I590" s="35">
        <f>IF($E590="","",$E590*$H590/100)</f>
        <v/>
      </c>
      <c r="J590" s="35">
        <f>IF($E590="","",$E590+$G590-$I590)</f>
        <v/>
      </c>
      <c r="K590" s="16" t="n"/>
      <c r="L590" s="20">
        <f>IF($A590="","",ROUNDUP(MONTH($A590)/3,0))</f>
        <v/>
      </c>
    </row>
    <row r="591">
      <c r="A591" s="33" t="n"/>
      <c r="B591" s="16" t="n"/>
      <c r="C591" s="16" t="n"/>
      <c r="D591" s="16" t="n"/>
      <c r="E591" s="34" t="n"/>
      <c r="F591" s="18" t="n"/>
      <c r="G591" s="35">
        <f>IF($E591="","",$E591*$F591/100)</f>
        <v/>
      </c>
      <c r="H591" s="18" t="n"/>
      <c r="I591" s="35">
        <f>IF($E591="","",$E591*$H591/100)</f>
        <v/>
      </c>
      <c r="J591" s="35">
        <f>IF($E591="","",$E591+$G591-$I591)</f>
        <v/>
      </c>
      <c r="K591" s="16" t="n"/>
      <c r="L591" s="20">
        <f>IF($A591="","",ROUNDUP(MONTH($A591)/3,0))</f>
        <v/>
      </c>
    </row>
    <row r="592">
      <c r="A592" s="33" t="n"/>
      <c r="B592" s="16" t="n"/>
      <c r="C592" s="16" t="n"/>
      <c r="D592" s="16" t="n"/>
      <c r="E592" s="34" t="n"/>
      <c r="F592" s="18" t="n"/>
      <c r="G592" s="35">
        <f>IF($E592="","",$E592*$F592/100)</f>
        <v/>
      </c>
      <c r="H592" s="18" t="n"/>
      <c r="I592" s="35">
        <f>IF($E592="","",$E592*$H592/100)</f>
        <v/>
      </c>
      <c r="J592" s="35">
        <f>IF($E592="","",$E592+$G592-$I592)</f>
        <v/>
      </c>
      <c r="K592" s="16" t="n"/>
      <c r="L592" s="20">
        <f>IF($A592="","",ROUNDUP(MONTH($A592)/3,0))</f>
        <v/>
      </c>
    </row>
    <row r="593">
      <c r="A593" s="33" t="n"/>
      <c r="B593" s="16" t="n"/>
      <c r="C593" s="16" t="n"/>
      <c r="D593" s="16" t="n"/>
      <c r="E593" s="34" t="n"/>
      <c r="F593" s="18" t="n"/>
      <c r="G593" s="35">
        <f>IF($E593="","",$E593*$F593/100)</f>
        <v/>
      </c>
      <c r="H593" s="18" t="n"/>
      <c r="I593" s="35">
        <f>IF($E593="","",$E593*$H593/100)</f>
        <v/>
      </c>
      <c r="J593" s="35">
        <f>IF($E593="","",$E593+$G593-$I593)</f>
        <v/>
      </c>
      <c r="K593" s="16" t="n"/>
      <c r="L593" s="20">
        <f>IF($A593="","",ROUNDUP(MONTH($A593)/3,0))</f>
        <v/>
      </c>
    </row>
    <row r="594">
      <c r="A594" s="33" t="n"/>
      <c r="B594" s="16" t="n"/>
      <c r="C594" s="16" t="n"/>
      <c r="D594" s="16" t="n"/>
      <c r="E594" s="34" t="n"/>
      <c r="F594" s="18" t="n"/>
      <c r="G594" s="35">
        <f>IF($E594="","",$E594*$F594/100)</f>
        <v/>
      </c>
      <c r="H594" s="18" t="n"/>
      <c r="I594" s="35">
        <f>IF($E594="","",$E594*$H594/100)</f>
        <v/>
      </c>
      <c r="J594" s="35">
        <f>IF($E594="","",$E594+$G594-$I594)</f>
        <v/>
      </c>
      <c r="K594" s="16" t="n"/>
      <c r="L594" s="20">
        <f>IF($A594="","",ROUNDUP(MONTH($A594)/3,0))</f>
        <v/>
      </c>
    </row>
    <row r="595">
      <c r="A595" s="33" t="n"/>
      <c r="B595" s="16" t="n"/>
      <c r="C595" s="16" t="n"/>
      <c r="D595" s="16" t="n"/>
      <c r="E595" s="34" t="n"/>
      <c r="F595" s="18" t="n"/>
      <c r="G595" s="35">
        <f>IF($E595="","",$E595*$F595/100)</f>
        <v/>
      </c>
      <c r="H595" s="18" t="n"/>
      <c r="I595" s="35">
        <f>IF($E595="","",$E595*$H595/100)</f>
        <v/>
      </c>
      <c r="J595" s="35">
        <f>IF($E595="","",$E595+$G595-$I595)</f>
        <v/>
      </c>
      <c r="K595" s="16" t="n"/>
      <c r="L595" s="20">
        <f>IF($A595="","",ROUNDUP(MONTH($A595)/3,0))</f>
        <v/>
      </c>
    </row>
    <row r="596">
      <c r="A596" s="33" t="n"/>
      <c r="B596" s="16" t="n"/>
      <c r="C596" s="16" t="n"/>
      <c r="D596" s="16" t="n"/>
      <c r="E596" s="34" t="n"/>
      <c r="F596" s="18" t="n"/>
      <c r="G596" s="35">
        <f>IF($E596="","",$E596*$F596/100)</f>
        <v/>
      </c>
      <c r="H596" s="18" t="n"/>
      <c r="I596" s="35">
        <f>IF($E596="","",$E596*$H596/100)</f>
        <v/>
      </c>
      <c r="J596" s="35">
        <f>IF($E596="","",$E596+$G596-$I596)</f>
        <v/>
      </c>
      <c r="K596" s="16" t="n"/>
      <c r="L596" s="20">
        <f>IF($A596="","",ROUNDUP(MONTH($A596)/3,0))</f>
        <v/>
      </c>
    </row>
    <row r="597">
      <c r="A597" s="33" t="n"/>
      <c r="B597" s="16" t="n"/>
      <c r="C597" s="16" t="n"/>
      <c r="D597" s="16" t="n"/>
      <c r="E597" s="34" t="n"/>
      <c r="F597" s="18" t="n"/>
      <c r="G597" s="35">
        <f>IF($E597="","",$E597*$F597/100)</f>
        <v/>
      </c>
      <c r="H597" s="18" t="n"/>
      <c r="I597" s="35">
        <f>IF($E597="","",$E597*$H597/100)</f>
        <v/>
      </c>
      <c r="J597" s="35">
        <f>IF($E597="","",$E597+$G597-$I597)</f>
        <v/>
      </c>
      <c r="K597" s="16" t="n"/>
      <c r="L597" s="20">
        <f>IF($A597="","",ROUNDUP(MONTH($A597)/3,0))</f>
        <v/>
      </c>
    </row>
    <row r="598">
      <c r="A598" s="33" t="n"/>
      <c r="B598" s="16" t="n"/>
      <c r="C598" s="16" t="n"/>
      <c r="D598" s="16" t="n"/>
      <c r="E598" s="34" t="n"/>
      <c r="F598" s="18" t="n"/>
      <c r="G598" s="35">
        <f>IF($E598="","",$E598*$F598/100)</f>
        <v/>
      </c>
      <c r="H598" s="18" t="n"/>
      <c r="I598" s="35">
        <f>IF($E598="","",$E598*$H598/100)</f>
        <v/>
      </c>
      <c r="J598" s="35">
        <f>IF($E598="","",$E598+$G598-$I598)</f>
        <v/>
      </c>
      <c r="K598" s="16" t="n"/>
      <c r="L598" s="20">
        <f>IF($A598="","",ROUNDUP(MONTH($A598)/3,0))</f>
        <v/>
      </c>
    </row>
    <row r="599">
      <c r="A599" s="33" t="n"/>
      <c r="B599" s="16" t="n"/>
      <c r="C599" s="16" t="n"/>
      <c r="D599" s="16" t="n"/>
      <c r="E599" s="34" t="n"/>
      <c r="F599" s="18" t="n"/>
      <c r="G599" s="35">
        <f>IF($E599="","",$E599*$F599/100)</f>
        <v/>
      </c>
      <c r="H599" s="18" t="n"/>
      <c r="I599" s="35">
        <f>IF($E599="","",$E599*$H599/100)</f>
        <v/>
      </c>
      <c r="J599" s="35">
        <f>IF($E599="","",$E599+$G599-$I599)</f>
        <v/>
      </c>
      <c r="K599" s="16" t="n"/>
      <c r="L599" s="20">
        <f>IF($A599="","",ROUNDUP(MONTH($A599)/3,0))</f>
        <v/>
      </c>
    </row>
    <row r="600">
      <c r="A600" s="33" t="n"/>
      <c r="B600" s="16" t="n"/>
      <c r="C600" s="16" t="n"/>
      <c r="D600" s="16" t="n"/>
      <c r="E600" s="34" t="n"/>
      <c r="F600" s="18" t="n"/>
      <c r="G600" s="35">
        <f>IF($E600="","",$E600*$F600/100)</f>
        <v/>
      </c>
      <c r="H600" s="18" t="n"/>
      <c r="I600" s="35">
        <f>IF($E600="","",$E600*$H600/100)</f>
        <v/>
      </c>
      <c r="J600" s="35">
        <f>IF($E600="","",$E600+$G600-$I600)</f>
        <v/>
      </c>
      <c r="K600" s="16" t="n"/>
      <c r="L600" s="20">
        <f>IF($A600="","",ROUNDUP(MONTH($A600)/3,0))</f>
        <v/>
      </c>
    </row>
    <row r="601">
      <c r="A601" s="33" t="n"/>
      <c r="B601" s="16" t="n"/>
      <c r="C601" s="16" t="n"/>
      <c r="D601" s="16" t="n"/>
      <c r="E601" s="34" t="n"/>
      <c r="F601" s="18" t="n"/>
      <c r="G601" s="35">
        <f>IF($E601="","",$E601*$F601/100)</f>
        <v/>
      </c>
      <c r="H601" s="18" t="n"/>
      <c r="I601" s="35">
        <f>IF($E601="","",$E601*$H601/100)</f>
        <v/>
      </c>
      <c r="J601" s="35">
        <f>IF($E601="","",$E601+$G601-$I601)</f>
        <v/>
      </c>
      <c r="K601" s="16" t="n"/>
      <c r="L601" s="20">
        <f>IF($A601="","",ROUNDUP(MONTH($A601)/3,0))</f>
        <v/>
      </c>
    </row>
    <row r="602">
      <c r="A602" s="33" t="n"/>
      <c r="B602" s="16" t="n"/>
      <c r="C602" s="16" t="n"/>
      <c r="D602" s="16" t="n"/>
      <c r="E602" s="34" t="n"/>
      <c r="F602" s="18" t="n"/>
      <c r="G602" s="35">
        <f>IF($E602="","",$E602*$F602/100)</f>
        <v/>
      </c>
      <c r="H602" s="18" t="n"/>
      <c r="I602" s="35">
        <f>IF($E602="","",$E602*$H602/100)</f>
        <v/>
      </c>
      <c r="J602" s="35">
        <f>IF($E602="","",$E602+$G602-$I602)</f>
        <v/>
      </c>
      <c r="K602" s="16" t="n"/>
      <c r="L602" s="20">
        <f>IF($A602="","",ROUNDUP(MONTH($A602)/3,0))</f>
        <v/>
      </c>
    </row>
    <row r="603">
      <c r="A603" s="33" t="n"/>
      <c r="B603" s="16" t="n"/>
      <c r="C603" s="16" t="n"/>
      <c r="D603" s="16" t="n"/>
      <c r="E603" s="34" t="n"/>
      <c r="F603" s="18" t="n"/>
      <c r="G603" s="35">
        <f>IF($E603="","",$E603*$F603/100)</f>
        <v/>
      </c>
      <c r="H603" s="18" t="n"/>
      <c r="I603" s="35">
        <f>IF($E603="","",$E603*$H603/100)</f>
        <v/>
      </c>
      <c r="J603" s="35">
        <f>IF($E603="","",$E603+$G603-$I603)</f>
        <v/>
      </c>
      <c r="K603" s="16" t="n"/>
      <c r="L603" s="20">
        <f>IF($A603="","",ROUNDUP(MONTH($A603)/3,0))</f>
        <v/>
      </c>
    </row>
    <row r="604">
      <c r="A604" s="33" t="n"/>
      <c r="B604" s="16" t="n"/>
      <c r="C604" s="16" t="n"/>
      <c r="D604" s="16" t="n"/>
      <c r="E604" s="34" t="n"/>
      <c r="F604" s="18" t="n"/>
      <c r="G604" s="35">
        <f>IF($E604="","",$E604*$F604/100)</f>
        <v/>
      </c>
      <c r="H604" s="18" t="n"/>
      <c r="I604" s="35">
        <f>IF($E604="","",$E604*$H604/100)</f>
        <v/>
      </c>
      <c r="J604" s="35">
        <f>IF($E604="","",$E604+$G604-$I604)</f>
        <v/>
      </c>
      <c r="K604" s="16" t="n"/>
      <c r="L604" s="20">
        <f>IF($A604="","",ROUNDUP(MONTH($A604)/3,0))</f>
        <v/>
      </c>
    </row>
    <row r="605">
      <c r="A605" s="33" t="n"/>
      <c r="B605" s="16" t="n"/>
      <c r="C605" s="16" t="n"/>
      <c r="D605" s="16" t="n"/>
      <c r="E605" s="34" t="n"/>
      <c r="F605" s="18" t="n"/>
      <c r="G605" s="35">
        <f>IF($E605="","",$E605*$F605/100)</f>
        <v/>
      </c>
      <c r="H605" s="18" t="n"/>
      <c r="I605" s="35">
        <f>IF($E605="","",$E605*$H605/100)</f>
        <v/>
      </c>
      <c r="J605" s="35">
        <f>IF($E605="","",$E605+$G605-$I605)</f>
        <v/>
      </c>
      <c r="K605" s="16" t="n"/>
      <c r="L605" s="20">
        <f>IF($A605="","",ROUNDUP(MONTH($A605)/3,0))</f>
        <v/>
      </c>
    </row>
    <row r="606">
      <c r="A606" s="33" t="n"/>
      <c r="B606" s="16" t="n"/>
      <c r="C606" s="16" t="n"/>
      <c r="D606" s="16" t="n"/>
      <c r="E606" s="34" t="n"/>
      <c r="F606" s="18" t="n"/>
      <c r="G606" s="35">
        <f>IF($E606="","",$E606*$F606/100)</f>
        <v/>
      </c>
      <c r="H606" s="18" t="n"/>
      <c r="I606" s="35">
        <f>IF($E606="","",$E606*$H606/100)</f>
        <v/>
      </c>
      <c r="J606" s="35">
        <f>IF($E606="","",$E606+$G606-$I606)</f>
        <v/>
      </c>
      <c r="K606" s="16" t="n"/>
      <c r="L606" s="20">
        <f>IF($A606="","",ROUNDUP(MONTH($A606)/3,0))</f>
        <v/>
      </c>
    </row>
    <row r="607">
      <c r="A607" s="33" t="n"/>
      <c r="B607" s="16" t="n"/>
      <c r="C607" s="16" t="n"/>
      <c r="D607" s="16" t="n"/>
      <c r="E607" s="34" t="n"/>
      <c r="F607" s="18" t="n"/>
      <c r="G607" s="35">
        <f>IF($E607="","",$E607*$F607/100)</f>
        <v/>
      </c>
      <c r="H607" s="18" t="n"/>
      <c r="I607" s="35">
        <f>IF($E607="","",$E607*$H607/100)</f>
        <v/>
      </c>
      <c r="J607" s="35">
        <f>IF($E607="","",$E607+$G607-$I607)</f>
        <v/>
      </c>
      <c r="K607" s="16" t="n"/>
      <c r="L607" s="20">
        <f>IF($A607="","",ROUNDUP(MONTH($A607)/3,0))</f>
        <v/>
      </c>
    </row>
    <row r="608">
      <c r="A608" s="33" t="n"/>
      <c r="B608" s="16" t="n"/>
      <c r="C608" s="16" t="n"/>
      <c r="D608" s="16" t="n"/>
      <c r="E608" s="34" t="n"/>
      <c r="F608" s="18" t="n"/>
      <c r="G608" s="35">
        <f>IF($E608="","",$E608*$F608/100)</f>
        <v/>
      </c>
      <c r="H608" s="18" t="n"/>
      <c r="I608" s="35">
        <f>IF($E608="","",$E608*$H608/100)</f>
        <v/>
      </c>
      <c r="J608" s="35">
        <f>IF($E608="","",$E608+$G608-$I608)</f>
        <v/>
      </c>
      <c r="K608" s="16" t="n"/>
      <c r="L608" s="20">
        <f>IF($A608="","",ROUNDUP(MONTH($A608)/3,0))</f>
        <v/>
      </c>
    </row>
    <row r="609">
      <c r="A609" s="33" t="n"/>
      <c r="B609" s="16" t="n"/>
      <c r="C609" s="16" t="n"/>
      <c r="D609" s="16" t="n"/>
      <c r="E609" s="34" t="n"/>
      <c r="F609" s="18" t="n"/>
      <c r="G609" s="35">
        <f>IF($E609="","",$E609*$F609/100)</f>
        <v/>
      </c>
      <c r="H609" s="18" t="n"/>
      <c r="I609" s="35">
        <f>IF($E609="","",$E609*$H609/100)</f>
        <v/>
      </c>
      <c r="J609" s="35">
        <f>IF($E609="","",$E609+$G609-$I609)</f>
        <v/>
      </c>
      <c r="K609" s="16" t="n"/>
      <c r="L609" s="20">
        <f>IF($A609="","",ROUNDUP(MONTH($A609)/3,0))</f>
        <v/>
      </c>
    </row>
    <row r="610">
      <c r="A610" s="33" t="n"/>
      <c r="B610" s="16" t="n"/>
      <c r="C610" s="16" t="n"/>
      <c r="D610" s="16" t="n"/>
      <c r="E610" s="34" t="n"/>
      <c r="F610" s="18" t="n"/>
      <c r="G610" s="35">
        <f>IF($E610="","",$E610*$F610/100)</f>
        <v/>
      </c>
      <c r="H610" s="18" t="n"/>
      <c r="I610" s="35">
        <f>IF($E610="","",$E610*$H610/100)</f>
        <v/>
      </c>
      <c r="J610" s="35">
        <f>IF($E610="","",$E610+$G610-$I610)</f>
        <v/>
      </c>
      <c r="K610" s="16" t="n"/>
      <c r="L610" s="20">
        <f>IF($A610="","",ROUNDUP(MONTH($A610)/3,0))</f>
        <v/>
      </c>
    </row>
    <row r="611">
      <c r="A611" s="33" t="n"/>
      <c r="B611" s="16" t="n"/>
      <c r="C611" s="16" t="n"/>
      <c r="D611" s="16" t="n"/>
      <c r="E611" s="34" t="n"/>
      <c r="F611" s="18" t="n"/>
      <c r="G611" s="35">
        <f>IF($E611="","",$E611*$F611/100)</f>
        <v/>
      </c>
      <c r="H611" s="18" t="n"/>
      <c r="I611" s="35">
        <f>IF($E611="","",$E611*$H611/100)</f>
        <v/>
      </c>
      <c r="J611" s="35">
        <f>IF($E611="","",$E611+$G611-$I611)</f>
        <v/>
      </c>
      <c r="K611" s="16" t="n"/>
      <c r="L611" s="20">
        <f>IF($A611="","",ROUNDUP(MONTH($A611)/3,0))</f>
        <v/>
      </c>
    </row>
    <row r="612">
      <c r="A612" s="33" t="n"/>
      <c r="B612" s="16" t="n"/>
      <c r="C612" s="16" t="n"/>
      <c r="D612" s="16" t="n"/>
      <c r="E612" s="34" t="n"/>
      <c r="F612" s="18" t="n"/>
      <c r="G612" s="35">
        <f>IF($E612="","",$E612*$F612/100)</f>
        <v/>
      </c>
      <c r="H612" s="18" t="n"/>
      <c r="I612" s="35">
        <f>IF($E612="","",$E612*$H612/100)</f>
        <v/>
      </c>
      <c r="J612" s="35">
        <f>IF($E612="","",$E612+$G612-$I612)</f>
        <v/>
      </c>
      <c r="K612" s="16" t="n"/>
      <c r="L612" s="20">
        <f>IF($A612="","",ROUNDUP(MONTH($A612)/3,0))</f>
        <v/>
      </c>
    </row>
    <row r="613">
      <c r="A613" s="33" t="n"/>
      <c r="B613" s="16" t="n"/>
      <c r="C613" s="16" t="n"/>
      <c r="D613" s="16" t="n"/>
      <c r="E613" s="34" t="n"/>
      <c r="F613" s="18" t="n"/>
      <c r="G613" s="35">
        <f>IF($E613="","",$E613*$F613/100)</f>
        <v/>
      </c>
      <c r="H613" s="18" t="n"/>
      <c r="I613" s="35">
        <f>IF($E613="","",$E613*$H613/100)</f>
        <v/>
      </c>
      <c r="J613" s="35">
        <f>IF($E613="","",$E613+$G613-$I613)</f>
        <v/>
      </c>
      <c r="K613" s="16" t="n"/>
      <c r="L613" s="20">
        <f>IF($A613="","",ROUNDUP(MONTH($A613)/3,0))</f>
        <v/>
      </c>
    </row>
    <row r="614">
      <c r="A614" s="33" t="n"/>
      <c r="B614" s="16" t="n"/>
      <c r="C614" s="16" t="n"/>
      <c r="D614" s="16" t="n"/>
      <c r="E614" s="34" t="n"/>
      <c r="F614" s="18" t="n"/>
      <c r="G614" s="35">
        <f>IF($E614="","",$E614*$F614/100)</f>
        <v/>
      </c>
      <c r="H614" s="18" t="n"/>
      <c r="I614" s="35">
        <f>IF($E614="","",$E614*$H614/100)</f>
        <v/>
      </c>
      <c r="J614" s="35">
        <f>IF($E614="","",$E614+$G614-$I614)</f>
        <v/>
      </c>
      <c r="K614" s="16" t="n"/>
      <c r="L614" s="20">
        <f>IF($A614="","",ROUNDUP(MONTH($A614)/3,0))</f>
        <v/>
      </c>
    </row>
    <row r="615">
      <c r="A615" s="33" t="n"/>
      <c r="B615" s="16" t="n"/>
      <c r="C615" s="16" t="n"/>
      <c r="D615" s="16" t="n"/>
      <c r="E615" s="34" t="n"/>
      <c r="F615" s="18" t="n"/>
      <c r="G615" s="35">
        <f>IF($E615="","",$E615*$F615/100)</f>
        <v/>
      </c>
      <c r="H615" s="18" t="n"/>
      <c r="I615" s="35">
        <f>IF($E615="","",$E615*$H615/100)</f>
        <v/>
      </c>
      <c r="J615" s="35">
        <f>IF($E615="","",$E615+$G615-$I615)</f>
        <v/>
      </c>
      <c r="K615" s="16" t="n"/>
      <c r="L615" s="20">
        <f>IF($A615="","",ROUNDUP(MONTH($A615)/3,0))</f>
        <v/>
      </c>
    </row>
    <row r="616">
      <c r="A616" s="33" t="n"/>
      <c r="B616" s="16" t="n"/>
      <c r="C616" s="16" t="n"/>
      <c r="D616" s="16" t="n"/>
      <c r="E616" s="34" t="n"/>
      <c r="F616" s="18" t="n"/>
      <c r="G616" s="35">
        <f>IF($E616="","",$E616*$F616/100)</f>
        <v/>
      </c>
      <c r="H616" s="18" t="n"/>
      <c r="I616" s="35">
        <f>IF($E616="","",$E616*$H616/100)</f>
        <v/>
      </c>
      <c r="J616" s="35">
        <f>IF($E616="","",$E616+$G616-$I616)</f>
        <v/>
      </c>
      <c r="K616" s="16" t="n"/>
      <c r="L616" s="20">
        <f>IF($A616="","",ROUNDUP(MONTH($A616)/3,0))</f>
        <v/>
      </c>
    </row>
    <row r="617">
      <c r="A617" s="33" t="n"/>
      <c r="B617" s="16" t="n"/>
      <c r="C617" s="16" t="n"/>
      <c r="D617" s="16" t="n"/>
      <c r="E617" s="34" t="n"/>
      <c r="F617" s="18" t="n"/>
      <c r="G617" s="35">
        <f>IF($E617="","",$E617*$F617/100)</f>
        <v/>
      </c>
      <c r="H617" s="18" t="n"/>
      <c r="I617" s="35">
        <f>IF($E617="","",$E617*$H617/100)</f>
        <v/>
      </c>
      <c r="J617" s="35">
        <f>IF($E617="","",$E617+$G617-$I617)</f>
        <v/>
      </c>
      <c r="K617" s="16" t="n"/>
      <c r="L617" s="20">
        <f>IF($A617="","",ROUNDUP(MONTH($A617)/3,0))</f>
        <v/>
      </c>
    </row>
    <row r="618">
      <c r="A618" s="33" t="n"/>
      <c r="B618" s="16" t="n"/>
      <c r="C618" s="16" t="n"/>
      <c r="D618" s="16" t="n"/>
      <c r="E618" s="34" t="n"/>
      <c r="F618" s="18" t="n"/>
      <c r="G618" s="35">
        <f>IF($E618="","",$E618*$F618/100)</f>
        <v/>
      </c>
      <c r="H618" s="18" t="n"/>
      <c r="I618" s="35">
        <f>IF($E618="","",$E618*$H618/100)</f>
        <v/>
      </c>
      <c r="J618" s="35">
        <f>IF($E618="","",$E618+$G618-$I618)</f>
        <v/>
      </c>
      <c r="K618" s="16" t="n"/>
      <c r="L618" s="20">
        <f>IF($A618="","",ROUNDUP(MONTH($A618)/3,0))</f>
        <v/>
      </c>
    </row>
    <row r="619">
      <c r="A619" s="33" t="n"/>
      <c r="B619" s="16" t="n"/>
      <c r="C619" s="16" t="n"/>
      <c r="D619" s="16" t="n"/>
      <c r="E619" s="34" t="n"/>
      <c r="F619" s="18" t="n"/>
      <c r="G619" s="35">
        <f>IF($E619="","",$E619*$F619/100)</f>
        <v/>
      </c>
      <c r="H619" s="18" t="n"/>
      <c r="I619" s="35">
        <f>IF($E619="","",$E619*$H619/100)</f>
        <v/>
      </c>
      <c r="J619" s="35">
        <f>IF($E619="","",$E619+$G619-$I619)</f>
        <v/>
      </c>
      <c r="K619" s="16" t="n"/>
      <c r="L619" s="20">
        <f>IF($A619="","",ROUNDUP(MONTH($A619)/3,0))</f>
        <v/>
      </c>
    </row>
    <row r="620">
      <c r="A620" s="33" t="n"/>
      <c r="B620" s="16" t="n"/>
      <c r="C620" s="16" t="n"/>
      <c r="D620" s="16" t="n"/>
      <c r="E620" s="34" t="n"/>
      <c r="F620" s="18" t="n"/>
      <c r="G620" s="35">
        <f>IF($E620="","",$E620*$F620/100)</f>
        <v/>
      </c>
      <c r="H620" s="18" t="n"/>
      <c r="I620" s="35">
        <f>IF($E620="","",$E620*$H620/100)</f>
        <v/>
      </c>
      <c r="J620" s="35">
        <f>IF($E620="","",$E620+$G620-$I620)</f>
        <v/>
      </c>
      <c r="K620" s="16" t="n"/>
      <c r="L620" s="20">
        <f>IF($A620="","",ROUNDUP(MONTH($A620)/3,0))</f>
        <v/>
      </c>
    </row>
    <row r="621">
      <c r="A621" s="33" t="n"/>
      <c r="B621" s="16" t="n"/>
      <c r="C621" s="16" t="n"/>
      <c r="D621" s="16" t="n"/>
      <c r="E621" s="34" t="n"/>
      <c r="F621" s="18" t="n"/>
      <c r="G621" s="35">
        <f>IF($E621="","",$E621*$F621/100)</f>
        <v/>
      </c>
      <c r="H621" s="18" t="n"/>
      <c r="I621" s="35">
        <f>IF($E621="","",$E621*$H621/100)</f>
        <v/>
      </c>
      <c r="J621" s="35">
        <f>IF($E621="","",$E621+$G621-$I621)</f>
        <v/>
      </c>
      <c r="K621" s="16" t="n"/>
      <c r="L621" s="20">
        <f>IF($A621="","",ROUNDUP(MONTH($A621)/3,0))</f>
        <v/>
      </c>
    </row>
    <row r="622">
      <c r="A622" s="33" t="n"/>
      <c r="B622" s="16" t="n"/>
      <c r="C622" s="16" t="n"/>
      <c r="D622" s="16" t="n"/>
      <c r="E622" s="34" t="n"/>
      <c r="F622" s="18" t="n"/>
      <c r="G622" s="35">
        <f>IF($E622="","",$E622*$F622/100)</f>
        <v/>
      </c>
      <c r="H622" s="18" t="n"/>
      <c r="I622" s="35">
        <f>IF($E622="","",$E622*$H622/100)</f>
        <v/>
      </c>
      <c r="J622" s="35">
        <f>IF($E622="","",$E622+$G622-$I622)</f>
        <v/>
      </c>
      <c r="K622" s="16" t="n"/>
      <c r="L622" s="20">
        <f>IF($A622="","",ROUNDUP(MONTH($A622)/3,0))</f>
        <v/>
      </c>
    </row>
    <row r="623">
      <c r="A623" s="33" t="n"/>
      <c r="B623" s="16" t="n"/>
      <c r="C623" s="16" t="n"/>
      <c r="D623" s="16" t="n"/>
      <c r="E623" s="34" t="n"/>
      <c r="F623" s="18" t="n"/>
      <c r="G623" s="35">
        <f>IF($E623="","",$E623*$F623/100)</f>
        <v/>
      </c>
      <c r="H623" s="18" t="n"/>
      <c r="I623" s="35">
        <f>IF($E623="","",$E623*$H623/100)</f>
        <v/>
      </c>
      <c r="J623" s="35">
        <f>IF($E623="","",$E623+$G623-$I623)</f>
        <v/>
      </c>
      <c r="K623" s="16" t="n"/>
      <c r="L623" s="20">
        <f>IF($A623="","",ROUNDUP(MONTH($A623)/3,0))</f>
        <v/>
      </c>
    </row>
    <row r="624">
      <c r="A624" s="33" t="n"/>
      <c r="B624" s="16" t="n"/>
      <c r="C624" s="16" t="n"/>
      <c r="D624" s="16" t="n"/>
      <c r="E624" s="34" t="n"/>
      <c r="F624" s="18" t="n"/>
      <c r="G624" s="35">
        <f>IF($E624="","",$E624*$F624/100)</f>
        <v/>
      </c>
      <c r="H624" s="18" t="n"/>
      <c r="I624" s="35">
        <f>IF($E624="","",$E624*$H624/100)</f>
        <v/>
      </c>
      <c r="J624" s="35">
        <f>IF($E624="","",$E624+$G624-$I624)</f>
        <v/>
      </c>
      <c r="K624" s="16" t="n"/>
      <c r="L624" s="20">
        <f>IF($A624="","",ROUNDUP(MONTH($A624)/3,0))</f>
        <v/>
      </c>
    </row>
    <row r="625">
      <c r="A625" s="33" t="n"/>
      <c r="B625" s="16" t="n"/>
      <c r="C625" s="16" t="n"/>
      <c r="D625" s="16" t="n"/>
      <c r="E625" s="34" t="n"/>
      <c r="F625" s="18" t="n"/>
      <c r="G625" s="35">
        <f>IF($E625="","",$E625*$F625/100)</f>
        <v/>
      </c>
      <c r="H625" s="18" t="n"/>
      <c r="I625" s="35">
        <f>IF($E625="","",$E625*$H625/100)</f>
        <v/>
      </c>
      <c r="J625" s="35">
        <f>IF($E625="","",$E625+$G625-$I625)</f>
        <v/>
      </c>
      <c r="K625" s="16" t="n"/>
      <c r="L625" s="20">
        <f>IF($A625="","",ROUNDUP(MONTH($A625)/3,0))</f>
        <v/>
      </c>
    </row>
    <row r="626">
      <c r="A626" s="33" t="n"/>
      <c r="B626" s="16" t="n"/>
      <c r="C626" s="16" t="n"/>
      <c r="D626" s="16" t="n"/>
      <c r="E626" s="34" t="n"/>
      <c r="F626" s="18" t="n"/>
      <c r="G626" s="35">
        <f>IF($E626="","",$E626*$F626/100)</f>
        <v/>
      </c>
      <c r="H626" s="18" t="n"/>
      <c r="I626" s="35">
        <f>IF($E626="","",$E626*$H626/100)</f>
        <v/>
      </c>
      <c r="J626" s="35">
        <f>IF($E626="","",$E626+$G626-$I626)</f>
        <v/>
      </c>
      <c r="K626" s="16" t="n"/>
      <c r="L626" s="20">
        <f>IF($A626="","",ROUNDUP(MONTH($A626)/3,0))</f>
        <v/>
      </c>
    </row>
    <row r="627">
      <c r="A627" s="33" t="n"/>
      <c r="B627" s="16" t="n"/>
      <c r="C627" s="16" t="n"/>
      <c r="D627" s="16" t="n"/>
      <c r="E627" s="34" t="n"/>
      <c r="F627" s="18" t="n"/>
      <c r="G627" s="35">
        <f>IF($E627="","",$E627*$F627/100)</f>
        <v/>
      </c>
      <c r="H627" s="18" t="n"/>
      <c r="I627" s="35">
        <f>IF($E627="","",$E627*$H627/100)</f>
        <v/>
      </c>
      <c r="J627" s="35">
        <f>IF($E627="","",$E627+$G627-$I627)</f>
        <v/>
      </c>
      <c r="K627" s="16" t="n"/>
      <c r="L627" s="20">
        <f>IF($A627="","",ROUNDUP(MONTH($A627)/3,0))</f>
        <v/>
      </c>
    </row>
    <row r="628">
      <c r="A628" s="33" t="n"/>
      <c r="B628" s="16" t="n"/>
      <c r="C628" s="16" t="n"/>
      <c r="D628" s="16" t="n"/>
      <c r="E628" s="34" t="n"/>
      <c r="F628" s="18" t="n"/>
      <c r="G628" s="35">
        <f>IF($E628="","",$E628*$F628/100)</f>
        <v/>
      </c>
      <c r="H628" s="18" t="n"/>
      <c r="I628" s="35">
        <f>IF($E628="","",$E628*$H628/100)</f>
        <v/>
      </c>
      <c r="J628" s="35">
        <f>IF($E628="","",$E628+$G628-$I628)</f>
        <v/>
      </c>
      <c r="K628" s="16" t="n"/>
      <c r="L628" s="20">
        <f>IF($A628="","",ROUNDUP(MONTH($A628)/3,0))</f>
        <v/>
      </c>
    </row>
    <row r="629">
      <c r="A629" s="33" t="n"/>
      <c r="B629" s="16" t="n"/>
      <c r="C629" s="16" t="n"/>
      <c r="D629" s="16" t="n"/>
      <c r="E629" s="34" t="n"/>
      <c r="F629" s="18" t="n"/>
      <c r="G629" s="35">
        <f>IF($E629="","",$E629*$F629/100)</f>
        <v/>
      </c>
      <c r="H629" s="18" t="n"/>
      <c r="I629" s="35">
        <f>IF($E629="","",$E629*$H629/100)</f>
        <v/>
      </c>
      <c r="J629" s="35">
        <f>IF($E629="","",$E629+$G629-$I629)</f>
        <v/>
      </c>
      <c r="K629" s="16" t="n"/>
      <c r="L629" s="20">
        <f>IF($A629="","",ROUNDUP(MONTH($A629)/3,0))</f>
        <v/>
      </c>
    </row>
    <row r="630">
      <c r="A630" s="33" t="n"/>
      <c r="B630" s="16" t="n"/>
      <c r="C630" s="16" t="n"/>
      <c r="D630" s="16" t="n"/>
      <c r="E630" s="34" t="n"/>
      <c r="F630" s="18" t="n"/>
      <c r="G630" s="35">
        <f>IF($E630="","",$E630*$F630/100)</f>
        <v/>
      </c>
      <c r="H630" s="18" t="n"/>
      <c r="I630" s="35">
        <f>IF($E630="","",$E630*$H630/100)</f>
        <v/>
      </c>
      <c r="J630" s="35">
        <f>IF($E630="","",$E630+$G630-$I630)</f>
        <v/>
      </c>
      <c r="K630" s="16" t="n"/>
      <c r="L630" s="20">
        <f>IF($A630="","",ROUNDUP(MONTH($A630)/3,0))</f>
        <v/>
      </c>
    </row>
    <row r="631">
      <c r="A631" s="33" t="n"/>
      <c r="B631" s="16" t="n"/>
      <c r="C631" s="16" t="n"/>
      <c r="D631" s="16" t="n"/>
      <c r="E631" s="34" t="n"/>
      <c r="F631" s="18" t="n"/>
      <c r="G631" s="35">
        <f>IF($E631="","",$E631*$F631/100)</f>
        <v/>
      </c>
      <c r="H631" s="18" t="n"/>
      <c r="I631" s="35">
        <f>IF($E631="","",$E631*$H631/100)</f>
        <v/>
      </c>
      <c r="J631" s="35">
        <f>IF($E631="","",$E631+$G631-$I631)</f>
        <v/>
      </c>
      <c r="K631" s="16" t="n"/>
      <c r="L631" s="20">
        <f>IF($A631="","",ROUNDUP(MONTH($A631)/3,0))</f>
        <v/>
      </c>
    </row>
    <row r="632">
      <c r="A632" s="33" t="n"/>
      <c r="B632" s="16" t="n"/>
      <c r="C632" s="16" t="n"/>
      <c r="D632" s="16" t="n"/>
      <c r="E632" s="34" t="n"/>
      <c r="F632" s="18" t="n"/>
      <c r="G632" s="35">
        <f>IF($E632="","",$E632*$F632/100)</f>
        <v/>
      </c>
      <c r="H632" s="18" t="n"/>
      <c r="I632" s="35">
        <f>IF($E632="","",$E632*$H632/100)</f>
        <v/>
      </c>
      <c r="J632" s="35">
        <f>IF($E632="","",$E632+$G632-$I632)</f>
        <v/>
      </c>
      <c r="K632" s="16" t="n"/>
      <c r="L632" s="20">
        <f>IF($A632="","",ROUNDUP(MONTH($A632)/3,0))</f>
        <v/>
      </c>
    </row>
    <row r="633">
      <c r="A633" s="33" t="n"/>
      <c r="B633" s="16" t="n"/>
      <c r="C633" s="16" t="n"/>
      <c r="D633" s="16" t="n"/>
      <c r="E633" s="34" t="n"/>
      <c r="F633" s="18" t="n"/>
      <c r="G633" s="35">
        <f>IF($E633="","",$E633*$F633/100)</f>
        <v/>
      </c>
      <c r="H633" s="18" t="n"/>
      <c r="I633" s="35">
        <f>IF($E633="","",$E633*$H633/100)</f>
        <v/>
      </c>
      <c r="J633" s="35">
        <f>IF($E633="","",$E633+$G633-$I633)</f>
        <v/>
      </c>
      <c r="K633" s="16" t="n"/>
      <c r="L633" s="20">
        <f>IF($A633="","",ROUNDUP(MONTH($A633)/3,0))</f>
        <v/>
      </c>
    </row>
    <row r="634">
      <c r="A634" s="33" t="n"/>
      <c r="B634" s="16" t="n"/>
      <c r="C634" s="16" t="n"/>
      <c r="D634" s="16" t="n"/>
      <c r="E634" s="34" t="n"/>
      <c r="F634" s="18" t="n"/>
      <c r="G634" s="35">
        <f>IF($E634="","",$E634*$F634/100)</f>
        <v/>
      </c>
      <c r="H634" s="18" t="n"/>
      <c r="I634" s="35">
        <f>IF($E634="","",$E634*$H634/100)</f>
        <v/>
      </c>
      <c r="J634" s="35">
        <f>IF($E634="","",$E634+$G634-$I634)</f>
        <v/>
      </c>
      <c r="K634" s="16" t="n"/>
      <c r="L634" s="20">
        <f>IF($A634="","",ROUNDUP(MONTH($A634)/3,0))</f>
        <v/>
      </c>
    </row>
    <row r="635">
      <c r="A635" s="33" t="n"/>
      <c r="B635" s="16" t="n"/>
      <c r="C635" s="16" t="n"/>
      <c r="D635" s="16" t="n"/>
      <c r="E635" s="34" t="n"/>
      <c r="F635" s="18" t="n"/>
      <c r="G635" s="35">
        <f>IF($E635="","",$E635*$F635/100)</f>
        <v/>
      </c>
      <c r="H635" s="18" t="n"/>
      <c r="I635" s="35">
        <f>IF($E635="","",$E635*$H635/100)</f>
        <v/>
      </c>
      <c r="J635" s="35">
        <f>IF($E635="","",$E635+$G635-$I635)</f>
        <v/>
      </c>
      <c r="K635" s="16" t="n"/>
      <c r="L635" s="20">
        <f>IF($A635="","",ROUNDUP(MONTH($A635)/3,0))</f>
        <v/>
      </c>
    </row>
    <row r="636">
      <c r="A636" s="33" t="n"/>
      <c r="B636" s="16" t="n"/>
      <c r="C636" s="16" t="n"/>
      <c r="D636" s="16" t="n"/>
      <c r="E636" s="34" t="n"/>
      <c r="F636" s="18" t="n"/>
      <c r="G636" s="35">
        <f>IF($E636="","",$E636*$F636/100)</f>
        <v/>
      </c>
      <c r="H636" s="18" t="n"/>
      <c r="I636" s="35">
        <f>IF($E636="","",$E636*$H636/100)</f>
        <v/>
      </c>
      <c r="J636" s="35">
        <f>IF($E636="","",$E636+$G636-$I636)</f>
        <v/>
      </c>
      <c r="K636" s="16" t="n"/>
      <c r="L636" s="20">
        <f>IF($A636="","",ROUNDUP(MONTH($A636)/3,0))</f>
        <v/>
      </c>
    </row>
    <row r="637">
      <c r="A637" s="33" t="n"/>
      <c r="B637" s="16" t="n"/>
      <c r="C637" s="16" t="n"/>
      <c r="D637" s="16" t="n"/>
      <c r="E637" s="34" t="n"/>
      <c r="F637" s="18" t="n"/>
      <c r="G637" s="35">
        <f>IF($E637="","",$E637*$F637/100)</f>
        <v/>
      </c>
      <c r="H637" s="18" t="n"/>
      <c r="I637" s="35">
        <f>IF($E637="","",$E637*$H637/100)</f>
        <v/>
      </c>
      <c r="J637" s="35">
        <f>IF($E637="","",$E637+$G637-$I637)</f>
        <v/>
      </c>
      <c r="K637" s="16" t="n"/>
      <c r="L637" s="20">
        <f>IF($A637="","",ROUNDUP(MONTH($A637)/3,0))</f>
        <v/>
      </c>
    </row>
    <row r="638">
      <c r="A638" s="33" t="n"/>
      <c r="B638" s="16" t="n"/>
      <c r="C638" s="16" t="n"/>
      <c r="D638" s="16" t="n"/>
      <c r="E638" s="34" t="n"/>
      <c r="F638" s="18" t="n"/>
      <c r="G638" s="35">
        <f>IF($E638="","",$E638*$F638/100)</f>
        <v/>
      </c>
      <c r="H638" s="18" t="n"/>
      <c r="I638" s="35">
        <f>IF($E638="","",$E638*$H638/100)</f>
        <v/>
      </c>
      <c r="J638" s="35">
        <f>IF($E638="","",$E638+$G638-$I638)</f>
        <v/>
      </c>
      <c r="K638" s="16" t="n"/>
      <c r="L638" s="20">
        <f>IF($A638="","",ROUNDUP(MONTH($A638)/3,0))</f>
        <v/>
      </c>
    </row>
    <row r="639">
      <c r="A639" s="33" t="n"/>
      <c r="B639" s="16" t="n"/>
      <c r="C639" s="16" t="n"/>
      <c r="D639" s="16" t="n"/>
      <c r="E639" s="34" t="n"/>
      <c r="F639" s="18" t="n"/>
      <c r="G639" s="35">
        <f>IF($E639="","",$E639*$F639/100)</f>
        <v/>
      </c>
      <c r="H639" s="18" t="n"/>
      <c r="I639" s="35">
        <f>IF($E639="","",$E639*$H639/100)</f>
        <v/>
      </c>
      <c r="J639" s="35">
        <f>IF($E639="","",$E639+$G639-$I639)</f>
        <v/>
      </c>
      <c r="K639" s="16" t="n"/>
      <c r="L639" s="20">
        <f>IF($A639="","",ROUNDUP(MONTH($A639)/3,0))</f>
        <v/>
      </c>
    </row>
    <row r="640">
      <c r="A640" s="33" t="n"/>
      <c r="B640" s="16" t="n"/>
      <c r="C640" s="16" t="n"/>
      <c r="D640" s="16" t="n"/>
      <c r="E640" s="34" t="n"/>
      <c r="F640" s="18" t="n"/>
      <c r="G640" s="35">
        <f>IF($E640="","",$E640*$F640/100)</f>
        <v/>
      </c>
      <c r="H640" s="18" t="n"/>
      <c r="I640" s="35">
        <f>IF($E640="","",$E640*$H640/100)</f>
        <v/>
      </c>
      <c r="J640" s="35">
        <f>IF($E640="","",$E640+$G640-$I640)</f>
        <v/>
      </c>
      <c r="K640" s="16" t="n"/>
      <c r="L640" s="20">
        <f>IF($A640="","",ROUNDUP(MONTH($A640)/3,0))</f>
        <v/>
      </c>
    </row>
    <row r="641">
      <c r="A641" s="33" t="n"/>
      <c r="B641" s="16" t="n"/>
      <c r="C641" s="16" t="n"/>
      <c r="D641" s="16" t="n"/>
      <c r="E641" s="34" t="n"/>
      <c r="F641" s="18" t="n"/>
      <c r="G641" s="35">
        <f>IF($E641="","",$E641*$F641/100)</f>
        <v/>
      </c>
      <c r="H641" s="18" t="n"/>
      <c r="I641" s="35">
        <f>IF($E641="","",$E641*$H641/100)</f>
        <v/>
      </c>
      <c r="J641" s="35">
        <f>IF($E641="","",$E641+$G641-$I641)</f>
        <v/>
      </c>
      <c r="K641" s="16" t="n"/>
      <c r="L641" s="20">
        <f>IF($A641="","",ROUNDUP(MONTH($A641)/3,0))</f>
        <v/>
      </c>
    </row>
    <row r="642">
      <c r="A642" s="33" t="n"/>
      <c r="B642" s="16" t="n"/>
      <c r="C642" s="16" t="n"/>
      <c r="D642" s="16" t="n"/>
      <c r="E642" s="34" t="n"/>
      <c r="F642" s="18" t="n"/>
      <c r="G642" s="35">
        <f>IF($E642="","",$E642*$F642/100)</f>
        <v/>
      </c>
      <c r="H642" s="18" t="n"/>
      <c r="I642" s="35">
        <f>IF($E642="","",$E642*$H642/100)</f>
        <v/>
      </c>
      <c r="J642" s="35">
        <f>IF($E642="","",$E642+$G642-$I642)</f>
        <v/>
      </c>
      <c r="K642" s="16" t="n"/>
      <c r="L642" s="20">
        <f>IF($A642="","",ROUNDUP(MONTH($A642)/3,0))</f>
        <v/>
      </c>
    </row>
    <row r="643">
      <c r="A643" s="33" t="n"/>
      <c r="B643" s="16" t="n"/>
      <c r="C643" s="16" t="n"/>
      <c r="D643" s="16" t="n"/>
      <c r="E643" s="34" t="n"/>
      <c r="F643" s="18" t="n"/>
      <c r="G643" s="35">
        <f>IF($E643="","",$E643*$F643/100)</f>
        <v/>
      </c>
      <c r="H643" s="18" t="n"/>
      <c r="I643" s="35">
        <f>IF($E643="","",$E643*$H643/100)</f>
        <v/>
      </c>
      <c r="J643" s="35">
        <f>IF($E643="","",$E643+$G643-$I643)</f>
        <v/>
      </c>
      <c r="K643" s="16" t="n"/>
      <c r="L643" s="20">
        <f>IF($A643="","",ROUNDUP(MONTH($A643)/3,0))</f>
        <v/>
      </c>
    </row>
    <row r="644">
      <c r="A644" s="33" t="n"/>
      <c r="B644" s="16" t="n"/>
      <c r="C644" s="16" t="n"/>
      <c r="D644" s="16" t="n"/>
      <c r="E644" s="34" t="n"/>
      <c r="F644" s="18" t="n"/>
      <c r="G644" s="35">
        <f>IF($E644="","",$E644*$F644/100)</f>
        <v/>
      </c>
      <c r="H644" s="18" t="n"/>
      <c r="I644" s="35">
        <f>IF($E644="","",$E644*$H644/100)</f>
        <v/>
      </c>
      <c r="J644" s="35">
        <f>IF($E644="","",$E644+$G644-$I644)</f>
        <v/>
      </c>
      <c r="K644" s="16" t="n"/>
      <c r="L644" s="20">
        <f>IF($A644="","",ROUNDUP(MONTH($A644)/3,0))</f>
        <v/>
      </c>
    </row>
    <row r="645">
      <c r="A645" s="33" t="n"/>
      <c r="B645" s="16" t="n"/>
      <c r="C645" s="16" t="n"/>
      <c r="D645" s="16" t="n"/>
      <c r="E645" s="34" t="n"/>
      <c r="F645" s="18" t="n"/>
      <c r="G645" s="35">
        <f>IF($E645="","",$E645*$F645/100)</f>
        <v/>
      </c>
      <c r="H645" s="18" t="n"/>
      <c r="I645" s="35">
        <f>IF($E645="","",$E645*$H645/100)</f>
        <v/>
      </c>
      <c r="J645" s="35">
        <f>IF($E645="","",$E645+$G645-$I645)</f>
        <v/>
      </c>
      <c r="K645" s="16" t="n"/>
      <c r="L645" s="20">
        <f>IF($A645="","",ROUNDUP(MONTH($A645)/3,0))</f>
        <v/>
      </c>
    </row>
    <row r="646">
      <c r="A646" s="33" t="n"/>
      <c r="B646" s="16" t="n"/>
      <c r="C646" s="16" t="n"/>
      <c r="D646" s="16" t="n"/>
      <c r="E646" s="34" t="n"/>
      <c r="F646" s="18" t="n"/>
      <c r="G646" s="35">
        <f>IF($E646="","",$E646*$F646/100)</f>
        <v/>
      </c>
      <c r="H646" s="18" t="n"/>
      <c r="I646" s="35">
        <f>IF($E646="","",$E646*$H646/100)</f>
        <v/>
      </c>
      <c r="J646" s="35">
        <f>IF($E646="","",$E646+$G646-$I646)</f>
        <v/>
      </c>
      <c r="K646" s="16" t="n"/>
      <c r="L646" s="20">
        <f>IF($A646="","",ROUNDUP(MONTH($A646)/3,0))</f>
        <v/>
      </c>
    </row>
    <row r="647">
      <c r="A647" s="33" t="n"/>
      <c r="B647" s="16" t="n"/>
      <c r="C647" s="16" t="n"/>
      <c r="D647" s="16" t="n"/>
      <c r="E647" s="34" t="n"/>
      <c r="F647" s="18" t="n"/>
      <c r="G647" s="35">
        <f>IF($E647="","",$E647*$F647/100)</f>
        <v/>
      </c>
      <c r="H647" s="18" t="n"/>
      <c r="I647" s="35">
        <f>IF($E647="","",$E647*$H647/100)</f>
        <v/>
      </c>
      <c r="J647" s="35">
        <f>IF($E647="","",$E647+$G647-$I647)</f>
        <v/>
      </c>
      <c r="K647" s="16" t="n"/>
      <c r="L647" s="20">
        <f>IF($A647="","",ROUNDUP(MONTH($A647)/3,0))</f>
        <v/>
      </c>
    </row>
    <row r="648">
      <c r="A648" s="33" t="n"/>
      <c r="B648" s="16" t="n"/>
      <c r="C648" s="16" t="n"/>
      <c r="D648" s="16" t="n"/>
      <c r="E648" s="34" t="n"/>
      <c r="F648" s="18" t="n"/>
      <c r="G648" s="35">
        <f>IF($E648="","",$E648*$F648/100)</f>
        <v/>
      </c>
      <c r="H648" s="18" t="n"/>
      <c r="I648" s="35">
        <f>IF($E648="","",$E648*$H648/100)</f>
        <v/>
      </c>
      <c r="J648" s="35">
        <f>IF($E648="","",$E648+$G648-$I648)</f>
        <v/>
      </c>
      <c r="K648" s="16" t="n"/>
      <c r="L648" s="20">
        <f>IF($A648="","",ROUNDUP(MONTH($A648)/3,0))</f>
        <v/>
      </c>
    </row>
    <row r="649">
      <c r="A649" s="33" t="n"/>
      <c r="B649" s="16" t="n"/>
      <c r="C649" s="16" t="n"/>
      <c r="D649" s="16" t="n"/>
      <c r="E649" s="34" t="n"/>
      <c r="F649" s="18" t="n"/>
      <c r="G649" s="35">
        <f>IF($E649="","",$E649*$F649/100)</f>
        <v/>
      </c>
      <c r="H649" s="18" t="n"/>
      <c r="I649" s="35">
        <f>IF($E649="","",$E649*$H649/100)</f>
        <v/>
      </c>
      <c r="J649" s="35">
        <f>IF($E649="","",$E649+$G649-$I649)</f>
        <v/>
      </c>
      <c r="K649" s="16" t="n"/>
      <c r="L649" s="20">
        <f>IF($A649="","",ROUNDUP(MONTH($A649)/3,0))</f>
        <v/>
      </c>
    </row>
    <row r="650">
      <c r="A650" s="33" t="n"/>
      <c r="B650" s="16" t="n"/>
      <c r="C650" s="16" t="n"/>
      <c r="D650" s="16" t="n"/>
      <c r="E650" s="34" t="n"/>
      <c r="F650" s="18" t="n"/>
      <c r="G650" s="35">
        <f>IF($E650="","",$E650*$F650/100)</f>
        <v/>
      </c>
      <c r="H650" s="18" t="n"/>
      <c r="I650" s="35">
        <f>IF($E650="","",$E650*$H650/100)</f>
        <v/>
      </c>
      <c r="J650" s="35">
        <f>IF($E650="","",$E650+$G650-$I650)</f>
        <v/>
      </c>
      <c r="K650" s="16" t="n"/>
      <c r="L650" s="20">
        <f>IF($A650="","",ROUNDUP(MONTH($A650)/3,0))</f>
        <v/>
      </c>
    </row>
    <row r="651">
      <c r="A651" s="33" t="n"/>
      <c r="B651" s="16" t="n"/>
      <c r="C651" s="16" t="n"/>
      <c r="D651" s="16" t="n"/>
      <c r="E651" s="34" t="n"/>
      <c r="F651" s="18" t="n"/>
      <c r="G651" s="35">
        <f>IF($E651="","",$E651*$F651/100)</f>
        <v/>
      </c>
      <c r="H651" s="18" t="n"/>
      <c r="I651" s="35">
        <f>IF($E651="","",$E651*$H651/100)</f>
        <v/>
      </c>
      <c r="J651" s="35">
        <f>IF($E651="","",$E651+$G651-$I651)</f>
        <v/>
      </c>
      <c r="K651" s="16" t="n"/>
      <c r="L651" s="20">
        <f>IF($A651="","",ROUNDUP(MONTH($A651)/3,0))</f>
        <v/>
      </c>
    </row>
    <row r="652">
      <c r="A652" s="33" t="n"/>
      <c r="B652" s="16" t="n"/>
      <c r="C652" s="16" t="n"/>
      <c r="D652" s="16" t="n"/>
      <c r="E652" s="34" t="n"/>
      <c r="F652" s="18" t="n"/>
      <c r="G652" s="35">
        <f>IF($E652="","",$E652*$F652/100)</f>
        <v/>
      </c>
      <c r="H652" s="18" t="n"/>
      <c r="I652" s="35">
        <f>IF($E652="","",$E652*$H652/100)</f>
        <v/>
      </c>
      <c r="J652" s="35">
        <f>IF($E652="","",$E652+$G652-$I652)</f>
        <v/>
      </c>
      <c r="K652" s="16" t="n"/>
      <c r="L652" s="20">
        <f>IF($A652="","",ROUNDUP(MONTH($A652)/3,0))</f>
        <v/>
      </c>
    </row>
    <row r="653">
      <c r="A653" s="33" t="n"/>
      <c r="B653" s="16" t="n"/>
      <c r="C653" s="16" t="n"/>
      <c r="D653" s="16" t="n"/>
      <c r="E653" s="34" t="n"/>
      <c r="F653" s="18" t="n"/>
      <c r="G653" s="35">
        <f>IF($E653="","",$E653*$F653/100)</f>
        <v/>
      </c>
      <c r="H653" s="18" t="n"/>
      <c r="I653" s="35">
        <f>IF($E653="","",$E653*$H653/100)</f>
        <v/>
      </c>
      <c r="J653" s="35">
        <f>IF($E653="","",$E653+$G653-$I653)</f>
        <v/>
      </c>
      <c r="K653" s="16" t="n"/>
      <c r="L653" s="20">
        <f>IF($A653="","",ROUNDUP(MONTH($A653)/3,0))</f>
        <v/>
      </c>
    </row>
    <row r="654">
      <c r="A654" s="33" t="n"/>
      <c r="B654" s="16" t="n"/>
      <c r="C654" s="16" t="n"/>
      <c r="D654" s="16" t="n"/>
      <c r="E654" s="34" t="n"/>
      <c r="F654" s="18" t="n"/>
      <c r="G654" s="35">
        <f>IF($E654="","",$E654*$F654/100)</f>
        <v/>
      </c>
      <c r="H654" s="18" t="n"/>
      <c r="I654" s="35">
        <f>IF($E654="","",$E654*$H654/100)</f>
        <v/>
      </c>
      <c r="J654" s="35">
        <f>IF($E654="","",$E654+$G654-$I654)</f>
        <v/>
      </c>
      <c r="K654" s="16" t="n"/>
      <c r="L654" s="20">
        <f>IF($A654="","",ROUNDUP(MONTH($A654)/3,0))</f>
        <v/>
      </c>
    </row>
    <row r="655">
      <c r="A655" s="33" t="n"/>
      <c r="B655" s="16" t="n"/>
      <c r="C655" s="16" t="n"/>
      <c r="D655" s="16" t="n"/>
      <c r="E655" s="34" t="n"/>
      <c r="F655" s="18" t="n"/>
      <c r="G655" s="35">
        <f>IF($E655="","",$E655*$F655/100)</f>
        <v/>
      </c>
      <c r="H655" s="18" t="n"/>
      <c r="I655" s="35">
        <f>IF($E655="","",$E655*$H655/100)</f>
        <v/>
      </c>
      <c r="J655" s="35">
        <f>IF($E655="","",$E655+$G655-$I655)</f>
        <v/>
      </c>
      <c r="K655" s="16" t="n"/>
      <c r="L655" s="20">
        <f>IF($A655="","",ROUNDUP(MONTH($A655)/3,0))</f>
        <v/>
      </c>
    </row>
    <row r="656">
      <c r="A656" s="33" t="n"/>
      <c r="B656" s="16" t="n"/>
      <c r="C656" s="16" t="n"/>
      <c r="D656" s="16" t="n"/>
      <c r="E656" s="34" t="n"/>
      <c r="F656" s="18" t="n"/>
      <c r="G656" s="35">
        <f>IF($E656="","",$E656*$F656/100)</f>
        <v/>
      </c>
      <c r="H656" s="18" t="n"/>
      <c r="I656" s="35">
        <f>IF($E656="","",$E656*$H656/100)</f>
        <v/>
      </c>
      <c r="J656" s="35">
        <f>IF($E656="","",$E656+$G656-$I656)</f>
        <v/>
      </c>
      <c r="K656" s="16" t="n"/>
      <c r="L656" s="20">
        <f>IF($A656="","",ROUNDUP(MONTH($A656)/3,0))</f>
        <v/>
      </c>
    </row>
    <row r="657">
      <c r="A657" s="33" t="n"/>
      <c r="B657" s="16" t="n"/>
      <c r="C657" s="16" t="n"/>
      <c r="D657" s="16" t="n"/>
      <c r="E657" s="34" t="n"/>
      <c r="F657" s="18" t="n"/>
      <c r="G657" s="35">
        <f>IF($E657="","",$E657*$F657/100)</f>
        <v/>
      </c>
      <c r="H657" s="18" t="n"/>
      <c r="I657" s="35">
        <f>IF($E657="","",$E657*$H657/100)</f>
        <v/>
      </c>
      <c r="J657" s="35">
        <f>IF($E657="","",$E657+$G657-$I657)</f>
        <v/>
      </c>
      <c r="K657" s="16" t="n"/>
      <c r="L657" s="20">
        <f>IF($A657="","",ROUNDUP(MONTH($A657)/3,0))</f>
        <v/>
      </c>
    </row>
    <row r="658">
      <c r="A658" s="33" t="n"/>
      <c r="B658" s="16" t="n"/>
      <c r="C658" s="16" t="n"/>
      <c r="D658" s="16" t="n"/>
      <c r="E658" s="34" t="n"/>
      <c r="F658" s="18" t="n"/>
      <c r="G658" s="35">
        <f>IF($E658="","",$E658*$F658/100)</f>
        <v/>
      </c>
      <c r="H658" s="18" t="n"/>
      <c r="I658" s="35">
        <f>IF($E658="","",$E658*$H658/100)</f>
        <v/>
      </c>
      <c r="J658" s="35">
        <f>IF($E658="","",$E658+$G658-$I658)</f>
        <v/>
      </c>
      <c r="K658" s="16" t="n"/>
      <c r="L658" s="20">
        <f>IF($A658="","",ROUNDUP(MONTH($A658)/3,0))</f>
        <v/>
      </c>
    </row>
    <row r="659">
      <c r="A659" s="33" t="n"/>
      <c r="B659" s="16" t="n"/>
      <c r="C659" s="16" t="n"/>
      <c r="D659" s="16" t="n"/>
      <c r="E659" s="34" t="n"/>
      <c r="F659" s="18" t="n"/>
      <c r="G659" s="35">
        <f>IF($E659="","",$E659*$F659/100)</f>
        <v/>
      </c>
      <c r="H659" s="18" t="n"/>
      <c r="I659" s="35">
        <f>IF($E659="","",$E659*$H659/100)</f>
        <v/>
      </c>
      <c r="J659" s="35">
        <f>IF($E659="","",$E659+$G659-$I659)</f>
        <v/>
      </c>
      <c r="K659" s="16" t="n"/>
      <c r="L659" s="20">
        <f>IF($A659="","",ROUNDUP(MONTH($A659)/3,0))</f>
        <v/>
      </c>
    </row>
    <row r="660">
      <c r="A660" s="33" t="n"/>
      <c r="B660" s="16" t="n"/>
      <c r="C660" s="16" t="n"/>
      <c r="D660" s="16" t="n"/>
      <c r="E660" s="34" t="n"/>
      <c r="F660" s="18" t="n"/>
      <c r="G660" s="35">
        <f>IF($E660="","",$E660*$F660/100)</f>
        <v/>
      </c>
      <c r="H660" s="18" t="n"/>
      <c r="I660" s="35">
        <f>IF($E660="","",$E660*$H660/100)</f>
        <v/>
      </c>
      <c r="J660" s="35">
        <f>IF($E660="","",$E660+$G660-$I660)</f>
        <v/>
      </c>
      <c r="K660" s="16" t="n"/>
      <c r="L660" s="20">
        <f>IF($A660="","",ROUNDUP(MONTH($A660)/3,0))</f>
        <v/>
      </c>
    </row>
    <row r="661">
      <c r="A661" s="33" t="n"/>
      <c r="B661" s="16" t="n"/>
      <c r="C661" s="16" t="n"/>
      <c r="D661" s="16" t="n"/>
      <c r="E661" s="34" t="n"/>
      <c r="F661" s="18" t="n"/>
      <c r="G661" s="35">
        <f>IF($E661="","",$E661*$F661/100)</f>
        <v/>
      </c>
      <c r="H661" s="18" t="n"/>
      <c r="I661" s="35">
        <f>IF($E661="","",$E661*$H661/100)</f>
        <v/>
      </c>
      <c r="J661" s="35">
        <f>IF($E661="","",$E661+$G661-$I661)</f>
        <v/>
      </c>
      <c r="K661" s="16" t="n"/>
      <c r="L661" s="20">
        <f>IF($A661="","",ROUNDUP(MONTH($A661)/3,0))</f>
        <v/>
      </c>
    </row>
    <row r="662">
      <c r="A662" s="33" t="n"/>
      <c r="B662" s="16" t="n"/>
      <c r="C662" s="16" t="n"/>
      <c r="D662" s="16" t="n"/>
      <c r="E662" s="34" t="n"/>
      <c r="F662" s="18" t="n"/>
      <c r="G662" s="35">
        <f>IF($E662="","",$E662*$F662/100)</f>
        <v/>
      </c>
      <c r="H662" s="18" t="n"/>
      <c r="I662" s="35">
        <f>IF($E662="","",$E662*$H662/100)</f>
        <v/>
      </c>
      <c r="J662" s="35">
        <f>IF($E662="","",$E662+$G662-$I662)</f>
        <v/>
      </c>
      <c r="K662" s="16" t="n"/>
      <c r="L662" s="20">
        <f>IF($A662="","",ROUNDUP(MONTH($A662)/3,0))</f>
        <v/>
      </c>
    </row>
    <row r="663">
      <c r="A663" s="33" t="n"/>
      <c r="B663" s="16" t="n"/>
      <c r="C663" s="16" t="n"/>
      <c r="D663" s="16" t="n"/>
      <c r="E663" s="34" t="n"/>
      <c r="F663" s="18" t="n"/>
      <c r="G663" s="35">
        <f>IF($E663="","",$E663*$F663/100)</f>
        <v/>
      </c>
      <c r="H663" s="18" t="n"/>
      <c r="I663" s="35">
        <f>IF($E663="","",$E663*$H663/100)</f>
        <v/>
      </c>
      <c r="J663" s="35">
        <f>IF($E663="","",$E663+$G663-$I663)</f>
        <v/>
      </c>
      <c r="K663" s="16" t="n"/>
      <c r="L663" s="20">
        <f>IF($A663="","",ROUNDUP(MONTH($A663)/3,0))</f>
        <v/>
      </c>
    </row>
    <row r="664">
      <c r="A664" s="33" t="n"/>
      <c r="B664" s="16" t="n"/>
      <c r="C664" s="16" t="n"/>
      <c r="D664" s="16" t="n"/>
      <c r="E664" s="34" t="n"/>
      <c r="F664" s="18" t="n"/>
      <c r="G664" s="35">
        <f>IF($E664="","",$E664*$F664/100)</f>
        <v/>
      </c>
      <c r="H664" s="18" t="n"/>
      <c r="I664" s="35">
        <f>IF($E664="","",$E664*$H664/100)</f>
        <v/>
      </c>
      <c r="J664" s="35">
        <f>IF($E664="","",$E664+$G664-$I664)</f>
        <v/>
      </c>
      <c r="K664" s="16" t="n"/>
      <c r="L664" s="20">
        <f>IF($A664="","",ROUNDUP(MONTH($A664)/3,0))</f>
        <v/>
      </c>
    </row>
    <row r="665">
      <c r="A665" s="33" t="n"/>
      <c r="B665" s="16" t="n"/>
      <c r="C665" s="16" t="n"/>
      <c r="D665" s="16" t="n"/>
      <c r="E665" s="34" t="n"/>
      <c r="F665" s="18" t="n"/>
      <c r="G665" s="35">
        <f>IF($E665="","",$E665*$F665/100)</f>
        <v/>
      </c>
      <c r="H665" s="18" t="n"/>
      <c r="I665" s="35">
        <f>IF($E665="","",$E665*$H665/100)</f>
        <v/>
      </c>
      <c r="J665" s="35">
        <f>IF($E665="","",$E665+$G665-$I665)</f>
        <v/>
      </c>
      <c r="K665" s="16" t="n"/>
      <c r="L665" s="20">
        <f>IF($A665="","",ROUNDUP(MONTH($A665)/3,0))</f>
        <v/>
      </c>
    </row>
    <row r="666">
      <c r="A666" s="33" t="n"/>
      <c r="B666" s="16" t="n"/>
      <c r="C666" s="16" t="n"/>
      <c r="D666" s="16" t="n"/>
      <c r="E666" s="34" t="n"/>
      <c r="F666" s="18" t="n"/>
      <c r="G666" s="35">
        <f>IF($E666="","",$E666*$F666/100)</f>
        <v/>
      </c>
      <c r="H666" s="18" t="n"/>
      <c r="I666" s="35">
        <f>IF($E666="","",$E666*$H666/100)</f>
        <v/>
      </c>
      <c r="J666" s="35">
        <f>IF($E666="","",$E666+$G666-$I666)</f>
        <v/>
      </c>
      <c r="K666" s="16" t="n"/>
      <c r="L666" s="20">
        <f>IF($A666="","",ROUNDUP(MONTH($A666)/3,0))</f>
        <v/>
      </c>
    </row>
    <row r="667">
      <c r="A667" s="33" t="n"/>
      <c r="B667" s="16" t="n"/>
      <c r="C667" s="16" t="n"/>
      <c r="D667" s="16" t="n"/>
      <c r="E667" s="34" t="n"/>
      <c r="F667" s="18" t="n"/>
      <c r="G667" s="35">
        <f>IF($E667="","",$E667*$F667/100)</f>
        <v/>
      </c>
      <c r="H667" s="18" t="n"/>
      <c r="I667" s="35">
        <f>IF($E667="","",$E667*$H667/100)</f>
        <v/>
      </c>
      <c r="J667" s="35">
        <f>IF($E667="","",$E667+$G667-$I667)</f>
        <v/>
      </c>
      <c r="K667" s="16" t="n"/>
      <c r="L667" s="20">
        <f>IF($A667="","",ROUNDUP(MONTH($A667)/3,0))</f>
        <v/>
      </c>
    </row>
    <row r="668">
      <c r="A668" s="33" t="n"/>
      <c r="B668" s="16" t="n"/>
      <c r="C668" s="16" t="n"/>
      <c r="D668" s="16" t="n"/>
      <c r="E668" s="34" t="n"/>
      <c r="F668" s="18" t="n"/>
      <c r="G668" s="35">
        <f>IF($E668="","",$E668*$F668/100)</f>
        <v/>
      </c>
      <c r="H668" s="18" t="n"/>
      <c r="I668" s="35">
        <f>IF($E668="","",$E668*$H668/100)</f>
        <v/>
      </c>
      <c r="J668" s="35">
        <f>IF($E668="","",$E668+$G668-$I668)</f>
        <v/>
      </c>
      <c r="K668" s="16" t="n"/>
      <c r="L668" s="20">
        <f>IF($A668="","",ROUNDUP(MONTH($A668)/3,0))</f>
        <v/>
      </c>
    </row>
    <row r="669">
      <c r="A669" s="33" t="n"/>
      <c r="B669" s="16" t="n"/>
      <c r="C669" s="16" t="n"/>
      <c r="D669" s="16" t="n"/>
      <c r="E669" s="34" t="n"/>
      <c r="F669" s="18" t="n"/>
      <c r="G669" s="35">
        <f>IF($E669="","",$E669*$F669/100)</f>
        <v/>
      </c>
      <c r="H669" s="18" t="n"/>
      <c r="I669" s="35">
        <f>IF($E669="","",$E669*$H669/100)</f>
        <v/>
      </c>
      <c r="J669" s="35">
        <f>IF($E669="","",$E669+$G669-$I669)</f>
        <v/>
      </c>
      <c r="K669" s="16" t="n"/>
      <c r="L669" s="20">
        <f>IF($A669="","",ROUNDUP(MONTH($A669)/3,0))</f>
        <v/>
      </c>
    </row>
    <row r="670">
      <c r="A670" s="33" t="n"/>
      <c r="B670" s="16" t="n"/>
      <c r="C670" s="16" t="n"/>
      <c r="D670" s="16" t="n"/>
      <c r="E670" s="34" t="n"/>
      <c r="F670" s="18" t="n"/>
      <c r="G670" s="35">
        <f>IF($E670="","",$E670*$F670/100)</f>
        <v/>
      </c>
      <c r="H670" s="18" t="n"/>
      <c r="I670" s="35">
        <f>IF($E670="","",$E670*$H670/100)</f>
        <v/>
      </c>
      <c r="J670" s="35">
        <f>IF($E670="","",$E670+$G670-$I670)</f>
        <v/>
      </c>
      <c r="K670" s="16" t="n"/>
      <c r="L670" s="20">
        <f>IF($A670="","",ROUNDUP(MONTH($A670)/3,0))</f>
        <v/>
      </c>
    </row>
    <row r="671">
      <c r="A671" s="33" t="n"/>
      <c r="B671" s="16" t="n"/>
      <c r="C671" s="16" t="n"/>
      <c r="D671" s="16" t="n"/>
      <c r="E671" s="34" t="n"/>
      <c r="F671" s="18" t="n"/>
      <c r="G671" s="35">
        <f>IF($E671="","",$E671*$F671/100)</f>
        <v/>
      </c>
      <c r="H671" s="18" t="n"/>
      <c r="I671" s="35">
        <f>IF($E671="","",$E671*$H671/100)</f>
        <v/>
      </c>
      <c r="J671" s="35">
        <f>IF($E671="","",$E671+$G671-$I671)</f>
        <v/>
      </c>
      <c r="K671" s="16" t="n"/>
      <c r="L671" s="20">
        <f>IF($A671="","",ROUNDUP(MONTH($A671)/3,0))</f>
        <v/>
      </c>
    </row>
    <row r="672">
      <c r="A672" s="33" t="n"/>
      <c r="B672" s="16" t="n"/>
      <c r="C672" s="16" t="n"/>
      <c r="D672" s="16" t="n"/>
      <c r="E672" s="34" t="n"/>
      <c r="F672" s="18" t="n"/>
      <c r="G672" s="35">
        <f>IF($E672="","",$E672*$F672/100)</f>
        <v/>
      </c>
      <c r="H672" s="18" t="n"/>
      <c r="I672" s="35">
        <f>IF($E672="","",$E672*$H672/100)</f>
        <v/>
      </c>
      <c r="J672" s="35">
        <f>IF($E672="","",$E672+$G672-$I672)</f>
        <v/>
      </c>
      <c r="K672" s="16" t="n"/>
      <c r="L672" s="20">
        <f>IF($A672="","",ROUNDUP(MONTH($A672)/3,0))</f>
        <v/>
      </c>
    </row>
    <row r="673">
      <c r="A673" s="33" t="n"/>
      <c r="B673" s="16" t="n"/>
      <c r="C673" s="16" t="n"/>
      <c r="D673" s="16" t="n"/>
      <c r="E673" s="34" t="n"/>
      <c r="F673" s="18" t="n"/>
      <c r="G673" s="35">
        <f>IF($E673="","",$E673*$F673/100)</f>
        <v/>
      </c>
      <c r="H673" s="18" t="n"/>
      <c r="I673" s="35">
        <f>IF($E673="","",$E673*$H673/100)</f>
        <v/>
      </c>
      <c r="J673" s="35">
        <f>IF($E673="","",$E673+$G673-$I673)</f>
        <v/>
      </c>
      <c r="K673" s="16" t="n"/>
      <c r="L673" s="20">
        <f>IF($A673="","",ROUNDUP(MONTH($A673)/3,0))</f>
        <v/>
      </c>
    </row>
    <row r="674">
      <c r="A674" s="33" t="n"/>
      <c r="B674" s="16" t="n"/>
      <c r="C674" s="16" t="n"/>
      <c r="D674" s="16" t="n"/>
      <c r="E674" s="34" t="n"/>
      <c r="F674" s="18" t="n"/>
      <c r="G674" s="35">
        <f>IF($E674="","",$E674*$F674/100)</f>
        <v/>
      </c>
      <c r="H674" s="18" t="n"/>
      <c r="I674" s="35">
        <f>IF($E674="","",$E674*$H674/100)</f>
        <v/>
      </c>
      <c r="J674" s="35">
        <f>IF($E674="","",$E674+$G674-$I674)</f>
        <v/>
      </c>
      <c r="K674" s="16" t="n"/>
      <c r="L674" s="20">
        <f>IF($A674="","",ROUNDUP(MONTH($A674)/3,0))</f>
        <v/>
      </c>
    </row>
    <row r="675">
      <c r="A675" s="33" t="n"/>
      <c r="B675" s="16" t="n"/>
      <c r="C675" s="16" t="n"/>
      <c r="D675" s="16" t="n"/>
      <c r="E675" s="34" t="n"/>
      <c r="F675" s="18" t="n"/>
      <c r="G675" s="35">
        <f>IF($E675="","",$E675*$F675/100)</f>
        <v/>
      </c>
      <c r="H675" s="18" t="n"/>
      <c r="I675" s="35">
        <f>IF($E675="","",$E675*$H675/100)</f>
        <v/>
      </c>
      <c r="J675" s="35">
        <f>IF($E675="","",$E675+$G675-$I675)</f>
        <v/>
      </c>
      <c r="K675" s="16" t="n"/>
      <c r="L675" s="20">
        <f>IF($A675="","",ROUNDUP(MONTH($A675)/3,0))</f>
        <v/>
      </c>
    </row>
    <row r="676">
      <c r="A676" s="33" t="n"/>
      <c r="B676" s="16" t="n"/>
      <c r="C676" s="16" t="n"/>
      <c r="D676" s="16" t="n"/>
      <c r="E676" s="34" t="n"/>
      <c r="F676" s="18" t="n"/>
      <c r="G676" s="35">
        <f>IF($E676="","",$E676*$F676/100)</f>
        <v/>
      </c>
      <c r="H676" s="18" t="n"/>
      <c r="I676" s="35">
        <f>IF($E676="","",$E676*$H676/100)</f>
        <v/>
      </c>
      <c r="J676" s="35">
        <f>IF($E676="","",$E676+$G676-$I676)</f>
        <v/>
      </c>
      <c r="K676" s="16" t="n"/>
      <c r="L676" s="20">
        <f>IF($A676="","",ROUNDUP(MONTH($A676)/3,0))</f>
        <v/>
      </c>
    </row>
    <row r="677">
      <c r="A677" s="33" t="n"/>
      <c r="B677" s="16" t="n"/>
      <c r="C677" s="16" t="n"/>
      <c r="D677" s="16" t="n"/>
      <c r="E677" s="34" t="n"/>
      <c r="F677" s="18" t="n"/>
      <c r="G677" s="35">
        <f>IF($E677="","",$E677*$F677/100)</f>
        <v/>
      </c>
      <c r="H677" s="18" t="n"/>
      <c r="I677" s="35">
        <f>IF($E677="","",$E677*$H677/100)</f>
        <v/>
      </c>
      <c r="J677" s="35">
        <f>IF($E677="","",$E677+$G677-$I677)</f>
        <v/>
      </c>
      <c r="K677" s="16" t="n"/>
      <c r="L677" s="20">
        <f>IF($A677="","",ROUNDUP(MONTH($A677)/3,0))</f>
        <v/>
      </c>
    </row>
    <row r="678">
      <c r="A678" s="33" t="n"/>
      <c r="B678" s="16" t="n"/>
      <c r="C678" s="16" t="n"/>
      <c r="D678" s="16" t="n"/>
      <c r="E678" s="34" t="n"/>
      <c r="F678" s="18" t="n"/>
      <c r="G678" s="35">
        <f>IF($E678="","",$E678*$F678/100)</f>
        <v/>
      </c>
      <c r="H678" s="18" t="n"/>
      <c r="I678" s="35">
        <f>IF($E678="","",$E678*$H678/100)</f>
        <v/>
      </c>
      <c r="J678" s="35">
        <f>IF($E678="","",$E678+$G678-$I678)</f>
        <v/>
      </c>
      <c r="K678" s="16" t="n"/>
      <c r="L678" s="20">
        <f>IF($A678="","",ROUNDUP(MONTH($A678)/3,0))</f>
        <v/>
      </c>
    </row>
    <row r="679">
      <c r="A679" s="33" t="n"/>
      <c r="B679" s="16" t="n"/>
      <c r="C679" s="16" t="n"/>
      <c r="D679" s="16" t="n"/>
      <c r="E679" s="34" t="n"/>
      <c r="F679" s="18" t="n"/>
      <c r="G679" s="35">
        <f>IF($E679="","",$E679*$F679/100)</f>
        <v/>
      </c>
      <c r="H679" s="18" t="n"/>
      <c r="I679" s="35">
        <f>IF($E679="","",$E679*$H679/100)</f>
        <v/>
      </c>
      <c r="J679" s="35">
        <f>IF($E679="","",$E679+$G679-$I679)</f>
        <v/>
      </c>
      <c r="K679" s="16" t="n"/>
      <c r="L679" s="20">
        <f>IF($A679="","",ROUNDUP(MONTH($A679)/3,0))</f>
        <v/>
      </c>
    </row>
    <row r="680">
      <c r="A680" s="33" t="n"/>
      <c r="B680" s="16" t="n"/>
      <c r="C680" s="16" t="n"/>
      <c r="D680" s="16" t="n"/>
      <c r="E680" s="34" t="n"/>
      <c r="F680" s="18" t="n"/>
      <c r="G680" s="35">
        <f>IF($E680="","",$E680*$F680/100)</f>
        <v/>
      </c>
      <c r="H680" s="18" t="n"/>
      <c r="I680" s="35">
        <f>IF($E680="","",$E680*$H680/100)</f>
        <v/>
      </c>
      <c r="J680" s="35">
        <f>IF($E680="","",$E680+$G680-$I680)</f>
        <v/>
      </c>
      <c r="K680" s="16" t="n"/>
      <c r="L680" s="20">
        <f>IF($A680="","",ROUNDUP(MONTH($A680)/3,0))</f>
        <v/>
      </c>
    </row>
    <row r="681">
      <c r="A681" s="33" t="n"/>
      <c r="B681" s="16" t="n"/>
      <c r="C681" s="16" t="n"/>
      <c r="D681" s="16" t="n"/>
      <c r="E681" s="34" t="n"/>
      <c r="F681" s="18" t="n"/>
      <c r="G681" s="35">
        <f>IF($E681="","",$E681*$F681/100)</f>
        <v/>
      </c>
      <c r="H681" s="18" t="n"/>
      <c r="I681" s="35">
        <f>IF($E681="","",$E681*$H681/100)</f>
        <v/>
      </c>
      <c r="J681" s="35">
        <f>IF($E681="","",$E681+$G681-$I681)</f>
        <v/>
      </c>
      <c r="K681" s="16" t="n"/>
      <c r="L681" s="20">
        <f>IF($A681="","",ROUNDUP(MONTH($A681)/3,0))</f>
        <v/>
      </c>
    </row>
    <row r="682">
      <c r="A682" s="33" t="n"/>
      <c r="B682" s="16" t="n"/>
      <c r="C682" s="16" t="n"/>
      <c r="D682" s="16" t="n"/>
      <c r="E682" s="34" t="n"/>
      <c r="F682" s="18" t="n"/>
      <c r="G682" s="35">
        <f>IF($E682="","",$E682*$F682/100)</f>
        <v/>
      </c>
      <c r="H682" s="18" t="n"/>
      <c r="I682" s="35">
        <f>IF($E682="","",$E682*$H682/100)</f>
        <v/>
      </c>
      <c r="J682" s="35">
        <f>IF($E682="","",$E682+$G682-$I682)</f>
        <v/>
      </c>
      <c r="K682" s="16" t="n"/>
      <c r="L682" s="20">
        <f>IF($A682="","",ROUNDUP(MONTH($A682)/3,0))</f>
        <v/>
      </c>
    </row>
    <row r="683">
      <c r="A683" s="33" t="n"/>
      <c r="B683" s="16" t="n"/>
      <c r="C683" s="16" t="n"/>
      <c r="D683" s="16" t="n"/>
      <c r="E683" s="34" t="n"/>
      <c r="F683" s="18" t="n"/>
      <c r="G683" s="35">
        <f>IF($E683="","",$E683*$F683/100)</f>
        <v/>
      </c>
      <c r="H683" s="18" t="n"/>
      <c r="I683" s="35">
        <f>IF($E683="","",$E683*$H683/100)</f>
        <v/>
      </c>
      <c r="J683" s="35">
        <f>IF($E683="","",$E683+$G683-$I683)</f>
        <v/>
      </c>
      <c r="K683" s="16" t="n"/>
      <c r="L683" s="20">
        <f>IF($A683="","",ROUNDUP(MONTH($A683)/3,0))</f>
        <v/>
      </c>
    </row>
    <row r="684">
      <c r="A684" s="33" t="n"/>
      <c r="B684" s="16" t="n"/>
      <c r="C684" s="16" t="n"/>
      <c r="D684" s="16" t="n"/>
      <c r="E684" s="34" t="n"/>
      <c r="F684" s="18" t="n"/>
      <c r="G684" s="35">
        <f>IF($E684="","",$E684*$F684/100)</f>
        <v/>
      </c>
      <c r="H684" s="18" t="n"/>
      <c r="I684" s="35">
        <f>IF($E684="","",$E684*$H684/100)</f>
        <v/>
      </c>
      <c r="J684" s="35">
        <f>IF($E684="","",$E684+$G684-$I684)</f>
        <v/>
      </c>
      <c r="K684" s="16" t="n"/>
      <c r="L684" s="20">
        <f>IF($A684="","",ROUNDUP(MONTH($A684)/3,0))</f>
        <v/>
      </c>
    </row>
    <row r="685">
      <c r="A685" s="33" t="n"/>
      <c r="B685" s="16" t="n"/>
      <c r="C685" s="16" t="n"/>
      <c r="D685" s="16" t="n"/>
      <c r="E685" s="34" t="n"/>
      <c r="F685" s="18" t="n"/>
      <c r="G685" s="35">
        <f>IF($E685="","",$E685*$F685/100)</f>
        <v/>
      </c>
      <c r="H685" s="18" t="n"/>
      <c r="I685" s="35">
        <f>IF($E685="","",$E685*$H685/100)</f>
        <v/>
      </c>
      <c r="J685" s="35">
        <f>IF($E685="","",$E685+$G685-$I685)</f>
        <v/>
      </c>
      <c r="K685" s="16" t="n"/>
      <c r="L685" s="20">
        <f>IF($A685="","",ROUNDUP(MONTH($A685)/3,0))</f>
        <v/>
      </c>
    </row>
    <row r="686">
      <c r="A686" s="33" t="n"/>
      <c r="B686" s="16" t="n"/>
      <c r="C686" s="16" t="n"/>
      <c r="D686" s="16" t="n"/>
      <c r="E686" s="34" t="n"/>
      <c r="F686" s="18" t="n"/>
      <c r="G686" s="35">
        <f>IF($E686="","",$E686*$F686/100)</f>
        <v/>
      </c>
      <c r="H686" s="18" t="n"/>
      <c r="I686" s="35">
        <f>IF($E686="","",$E686*$H686/100)</f>
        <v/>
      </c>
      <c r="J686" s="35">
        <f>IF($E686="","",$E686+$G686-$I686)</f>
        <v/>
      </c>
      <c r="K686" s="16" t="n"/>
      <c r="L686" s="20">
        <f>IF($A686="","",ROUNDUP(MONTH($A686)/3,0))</f>
        <v/>
      </c>
    </row>
    <row r="687">
      <c r="A687" s="33" t="n"/>
      <c r="B687" s="16" t="n"/>
      <c r="C687" s="16" t="n"/>
      <c r="D687" s="16" t="n"/>
      <c r="E687" s="34" t="n"/>
      <c r="F687" s="18" t="n"/>
      <c r="G687" s="35">
        <f>IF($E687="","",$E687*$F687/100)</f>
        <v/>
      </c>
      <c r="H687" s="18" t="n"/>
      <c r="I687" s="35">
        <f>IF($E687="","",$E687*$H687/100)</f>
        <v/>
      </c>
      <c r="J687" s="35">
        <f>IF($E687="","",$E687+$G687-$I687)</f>
        <v/>
      </c>
      <c r="K687" s="16" t="n"/>
      <c r="L687" s="20">
        <f>IF($A687="","",ROUNDUP(MONTH($A687)/3,0))</f>
        <v/>
      </c>
    </row>
    <row r="688">
      <c r="A688" s="33" t="n"/>
      <c r="B688" s="16" t="n"/>
      <c r="C688" s="16" t="n"/>
      <c r="D688" s="16" t="n"/>
      <c r="E688" s="34" t="n"/>
      <c r="F688" s="18" t="n"/>
      <c r="G688" s="35">
        <f>IF($E688="","",$E688*$F688/100)</f>
        <v/>
      </c>
      <c r="H688" s="18" t="n"/>
      <c r="I688" s="35">
        <f>IF($E688="","",$E688*$H688/100)</f>
        <v/>
      </c>
      <c r="J688" s="35">
        <f>IF($E688="","",$E688+$G688-$I688)</f>
        <v/>
      </c>
      <c r="K688" s="16" t="n"/>
      <c r="L688" s="20">
        <f>IF($A688="","",ROUNDUP(MONTH($A688)/3,0))</f>
        <v/>
      </c>
    </row>
    <row r="689">
      <c r="A689" s="33" t="n"/>
      <c r="B689" s="16" t="n"/>
      <c r="C689" s="16" t="n"/>
      <c r="D689" s="16" t="n"/>
      <c r="E689" s="34" t="n"/>
      <c r="F689" s="18" t="n"/>
      <c r="G689" s="35">
        <f>IF($E689="","",$E689*$F689/100)</f>
        <v/>
      </c>
      <c r="H689" s="18" t="n"/>
      <c r="I689" s="35">
        <f>IF($E689="","",$E689*$H689/100)</f>
        <v/>
      </c>
      <c r="J689" s="35">
        <f>IF($E689="","",$E689+$G689-$I689)</f>
        <v/>
      </c>
      <c r="K689" s="16" t="n"/>
      <c r="L689" s="20">
        <f>IF($A689="","",ROUNDUP(MONTH($A689)/3,0))</f>
        <v/>
      </c>
    </row>
    <row r="690">
      <c r="A690" s="33" t="n"/>
      <c r="B690" s="16" t="n"/>
      <c r="C690" s="16" t="n"/>
      <c r="D690" s="16" t="n"/>
      <c r="E690" s="34" t="n"/>
      <c r="F690" s="18" t="n"/>
      <c r="G690" s="35">
        <f>IF($E690="","",$E690*$F690/100)</f>
        <v/>
      </c>
      <c r="H690" s="18" t="n"/>
      <c r="I690" s="35">
        <f>IF($E690="","",$E690*$H690/100)</f>
        <v/>
      </c>
      <c r="J690" s="35">
        <f>IF($E690="","",$E690+$G690-$I690)</f>
        <v/>
      </c>
      <c r="K690" s="16" t="n"/>
      <c r="L690" s="20">
        <f>IF($A690="","",ROUNDUP(MONTH($A690)/3,0))</f>
        <v/>
      </c>
    </row>
    <row r="691">
      <c r="A691" s="33" t="n"/>
      <c r="B691" s="16" t="n"/>
      <c r="C691" s="16" t="n"/>
      <c r="D691" s="16" t="n"/>
      <c r="E691" s="34" t="n"/>
      <c r="F691" s="18" t="n"/>
      <c r="G691" s="35">
        <f>IF($E691="","",$E691*$F691/100)</f>
        <v/>
      </c>
      <c r="H691" s="18" t="n"/>
      <c r="I691" s="35">
        <f>IF($E691="","",$E691*$H691/100)</f>
        <v/>
      </c>
      <c r="J691" s="35">
        <f>IF($E691="","",$E691+$G691-$I691)</f>
        <v/>
      </c>
      <c r="K691" s="16" t="n"/>
      <c r="L691" s="20">
        <f>IF($A691="","",ROUNDUP(MONTH($A691)/3,0))</f>
        <v/>
      </c>
    </row>
    <row r="692">
      <c r="A692" s="33" t="n"/>
      <c r="B692" s="16" t="n"/>
      <c r="C692" s="16" t="n"/>
      <c r="D692" s="16" t="n"/>
      <c r="E692" s="34" t="n"/>
      <c r="F692" s="18" t="n"/>
      <c r="G692" s="35">
        <f>IF($E692="","",$E692*$F692/100)</f>
        <v/>
      </c>
      <c r="H692" s="18" t="n"/>
      <c r="I692" s="35">
        <f>IF($E692="","",$E692*$H692/100)</f>
        <v/>
      </c>
      <c r="J692" s="35">
        <f>IF($E692="","",$E692+$G692-$I692)</f>
        <v/>
      </c>
      <c r="K692" s="16" t="n"/>
      <c r="L692" s="20">
        <f>IF($A692="","",ROUNDUP(MONTH($A692)/3,0))</f>
        <v/>
      </c>
    </row>
    <row r="693">
      <c r="A693" s="33" t="n"/>
      <c r="B693" s="16" t="n"/>
      <c r="C693" s="16" t="n"/>
      <c r="D693" s="16" t="n"/>
      <c r="E693" s="34" t="n"/>
      <c r="F693" s="18" t="n"/>
      <c r="G693" s="35">
        <f>IF($E693="","",$E693*$F693/100)</f>
        <v/>
      </c>
      <c r="H693" s="18" t="n"/>
      <c r="I693" s="35">
        <f>IF($E693="","",$E693*$H693/100)</f>
        <v/>
      </c>
      <c r="J693" s="35">
        <f>IF($E693="","",$E693+$G693-$I693)</f>
        <v/>
      </c>
      <c r="K693" s="16" t="n"/>
      <c r="L693" s="20">
        <f>IF($A693="","",ROUNDUP(MONTH($A693)/3,0))</f>
        <v/>
      </c>
    </row>
    <row r="694">
      <c r="A694" s="33" t="n"/>
      <c r="B694" s="16" t="n"/>
      <c r="C694" s="16" t="n"/>
      <c r="D694" s="16" t="n"/>
      <c r="E694" s="34" t="n"/>
      <c r="F694" s="18" t="n"/>
      <c r="G694" s="35">
        <f>IF($E694="","",$E694*$F694/100)</f>
        <v/>
      </c>
      <c r="H694" s="18" t="n"/>
      <c r="I694" s="35">
        <f>IF($E694="","",$E694*$H694/100)</f>
        <v/>
      </c>
      <c r="J694" s="35">
        <f>IF($E694="","",$E694+$G694-$I694)</f>
        <v/>
      </c>
      <c r="K694" s="16" t="n"/>
      <c r="L694" s="20">
        <f>IF($A694="","",ROUNDUP(MONTH($A694)/3,0))</f>
        <v/>
      </c>
    </row>
    <row r="695">
      <c r="A695" s="33" t="n"/>
      <c r="B695" s="16" t="n"/>
      <c r="C695" s="16" t="n"/>
      <c r="D695" s="16" t="n"/>
      <c r="E695" s="34" t="n"/>
      <c r="F695" s="18" t="n"/>
      <c r="G695" s="35">
        <f>IF($E695="","",$E695*$F695/100)</f>
        <v/>
      </c>
      <c r="H695" s="18" t="n"/>
      <c r="I695" s="35">
        <f>IF($E695="","",$E695*$H695/100)</f>
        <v/>
      </c>
      <c r="J695" s="35">
        <f>IF($E695="","",$E695+$G695-$I695)</f>
        <v/>
      </c>
      <c r="K695" s="16" t="n"/>
      <c r="L695" s="20">
        <f>IF($A695="","",ROUNDUP(MONTH($A695)/3,0))</f>
        <v/>
      </c>
    </row>
    <row r="696">
      <c r="A696" s="33" t="n"/>
      <c r="B696" s="16" t="n"/>
      <c r="C696" s="16" t="n"/>
      <c r="D696" s="16" t="n"/>
      <c r="E696" s="34" t="n"/>
      <c r="F696" s="18" t="n"/>
      <c r="G696" s="35">
        <f>IF($E696="","",$E696*$F696/100)</f>
        <v/>
      </c>
      <c r="H696" s="18" t="n"/>
      <c r="I696" s="35">
        <f>IF($E696="","",$E696*$H696/100)</f>
        <v/>
      </c>
      <c r="J696" s="35">
        <f>IF($E696="","",$E696+$G696-$I696)</f>
        <v/>
      </c>
      <c r="K696" s="16" t="n"/>
      <c r="L696" s="20">
        <f>IF($A696="","",ROUNDUP(MONTH($A696)/3,0))</f>
        <v/>
      </c>
    </row>
    <row r="697">
      <c r="A697" s="33" t="n"/>
      <c r="B697" s="16" t="n"/>
      <c r="C697" s="16" t="n"/>
      <c r="D697" s="16" t="n"/>
      <c r="E697" s="34" t="n"/>
      <c r="F697" s="18" t="n"/>
      <c r="G697" s="35">
        <f>IF($E697="","",$E697*$F697/100)</f>
        <v/>
      </c>
      <c r="H697" s="18" t="n"/>
      <c r="I697" s="35">
        <f>IF($E697="","",$E697*$H697/100)</f>
        <v/>
      </c>
      <c r="J697" s="35">
        <f>IF($E697="","",$E697+$G697-$I697)</f>
        <v/>
      </c>
      <c r="K697" s="16" t="n"/>
      <c r="L697" s="20">
        <f>IF($A697="","",ROUNDUP(MONTH($A697)/3,0))</f>
        <v/>
      </c>
    </row>
    <row r="698">
      <c r="A698" s="33" t="n"/>
      <c r="B698" s="16" t="n"/>
      <c r="C698" s="16" t="n"/>
      <c r="D698" s="16" t="n"/>
      <c r="E698" s="34" t="n"/>
      <c r="F698" s="18" t="n"/>
      <c r="G698" s="35">
        <f>IF($E698="","",$E698*$F698/100)</f>
        <v/>
      </c>
      <c r="H698" s="18" t="n"/>
      <c r="I698" s="35">
        <f>IF($E698="","",$E698*$H698/100)</f>
        <v/>
      </c>
      <c r="J698" s="35">
        <f>IF($E698="","",$E698+$G698-$I698)</f>
        <v/>
      </c>
      <c r="K698" s="16" t="n"/>
      <c r="L698" s="20">
        <f>IF($A698="","",ROUNDUP(MONTH($A698)/3,0))</f>
        <v/>
      </c>
    </row>
    <row r="699">
      <c r="A699" s="33" t="n"/>
      <c r="B699" s="16" t="n"/>
      <c r="C699" s="16" t="n"/>
      <c r="D699" s="16" t="n"/>
      <c r="E699" s="34" t="n"/>
      <c r="F699" s="18" t="n"/>
      <c r="G699" s="35">
        <f>IF($E699="","",$E699*$F699/100)</f>
        <v/>
      </c>
      <c r="H699" s="18" t="n"/>
      <c r="I699" s="35">
        <f>IF($E699="","",$E699*$H699/100)</f>
        <v/>
      </c>
      <c r="J699" s="35">
        <f>IF($E699="","",$E699+$G699-$I699)</f>
        <v/>
      </c>
      <c r="K699" s="16" t="n"/>
      <c r="L699" s="20">
        <f>IF($A699="","",ROUNDUP(MONTH($A699)/3,0))</f>
        <v/>
      </c>
    </row>
    <row r="700">
      <c r="A700" s="33" t="n"/>
      <c r="B700" s="16" t="n"/>
      <c r="C700" s="16" t="n"/>
      <c r="D700" s="16" t="n"/>
      <c r="E700" s="34" t="n"/>
      <c r="F700" s="18" t="n"/>
      <c r="G700" s="35">
        <f>IF($E700="","",$E700*$F700/100)</f>
        <v/>
      </c>
      <c r="H700" s="18" t="n"/>
      <c r="I700" s="35">
        <f>IF($E700="","",$E700*$H700/100)</f>
        <v/>
      </c>
      <c r="J700" s="35">
        <f>IF($E700="","",$E700+$G700-$I700)</f>
        <v/>
      </c>
      <c r="K700" s="16" t="n"/>
      <c r="L700" s="20">
        <f>IF($A700="","",ROUNDUP(MONTH($A700)/3,0))</f>
        <v/>
      </c>
    </row>
    <row r="701">
      <c r="A701" s="33" t="n"/>
      <c r="B701" s="16" t="n"/>
      <c r="C701" s="16" t="n"/>
      <c r="D701" s="16" t="n"/>
      <c r="E701" s="34" t="n"/>
      <c r="F701" s="18" t="n"/>
      <c r="G701" s="35">
        <f>IF($E701="","",$E701*$F701/100)</f>
        <v/>
      </c>
      <c r="H701" s="18" t="n"/>
      <c r="I701" s="35">
        <f>IF($E701="","",$E701*$H701/100)</f>
        <v/>
      </c>
      <c r="J701" s="35">
        <f>IF($E701="","",$E701+$G701-$I701)</f>
        <v/>
      </c>
      <c r="K701" s="16" t="n"/>
      <c r="L701" s="20">
        <f>IF($A701="","",ROUNDUP(MONTH($A701)/3,0))</f>
        <v/>
      </c>
    </row>
    <row r="702">
      <c r="A702" s="33" t="n"/>
      <c r="B702" s="16" t="n"/>
      <c r="C702" s="16" t="n"/>
      <c r="D702" s="16" t="n"/>
      <c r="E702" s="34" t="n"/>
      <c r="F702" s="18" t="n"/>
      <c r="G702" s="35">
        <f>IF($E702="","",$E702*$F702/100)</f>
        <v/>
      </c>
      <c r="H702" s="18" t="n"/>
      <c r="I702" s="35">
        <f>IF($E702="","",$E702*$H702/100)</f>
        <v/>
      </c>
      <c r="J702" s="35">
        <f>IF($E702="","",$E702+$G702-$I702)</f>
        <v/>
      </c>
      <c r="K702" s="16" t="n"/>
      <c r="L702" s="20">
        <f>IF($A702="","",ROUNDUP(MONTH($A702)/3,0))</f>
        <v/>
      </c>
    </row>
    <row r="703">
      <c r="A703" s="33" t="n"/>
      <c r="B703" s="16" t="n"/>
      <c r="C703" s="16" t="n"/>
      <c r="D703" s="16" t="n"/>
      <c r="E703" s="34" t="n"/>
      <c r="F703" s="18" t="n"/>
      <c r="G703" s="35">
        <f>IF($E703="","",$E703*$F703/100)</f>
        <v/>
      </c>
      <c r="H703" s="18" t="n"/>
      <c r="I703" s="35">
        <f>IF($E703="","",$E703*$H703/100)</f>
        <v/>
      </c>
      <c r="J703" s="35">
        <f>IF($E703="","",$E703+$G703-$I703)</f>
        <v/>
      </c>
      <c r="K703" s="16" t="n"/>
      <c r="L703" s="20">
        <f>IF($A703="","",ROUNDUP(MONTH($A703)/3,0))</f>
        <v/>
      </c>
    </row>
    <row r="704">
      <c r="A704" s="33" t="n"/>
      <c r="B704" s="16" t="n"/>
      <c r="C704" s="16" t="n"/>
      <c r="D704" s="16" t="n"/>
      <c r="E704" s="34" t="n"/>
      <c r="F704" s="18" t="n"/>
      <c r="G704" s="35">
        <f>IF($E704="","",$E704*$F704/100)</f>
        <v/>
      </c>
      <c r="H704" s="18" t="n"/>
      <c r="I704" s="35">
        <f>IF($E704="","",$E704*$H704/100)</f>
        <v/>
      </c>
      <c r="J704" s="35">
        <f>IF($E704="","",$E704+$G704-$I704)</f>
        <v/>
      </c>
      <c r="K704" s="16" t="n"/>
      <c r="L704" s="20">
        <f>IF($A704="","",ROUNDUP(MONTH($A704)/3,0))</f>
        <v/>
      </c>
    </row>
    <row r="705">
      <c r="A705" s="33" t="n"/>
      <c r="B705" s="16" t="n"/>
      <c r="C705" s="16" t="n"/>
      <c r="D705" s="16" t="n"/>
      <c r="E705" s="34" t="n"/>
      <c r="F705" s="18" t="n"/>
      <c r="G705" s="35">
        <f>IF($E705="","",$E705*$F705/100)</f>
        <v/>
      </c>
      <c r="H705" s="18" t="n"/>
      <c r="I705" s="35">
        <f>IF($E705="","",$E705*$H705/100)</f>
        <v/>
      </c>
      <c r="J705" s="35">
        <f>IF($E705="","",$E705+$G705-$I705)</f>
        <v/>
      </c>
      <c r="K705" s="16" t="n"/>
      <c r="L705" s="20">
        <f>IF($A705="","",ROUNDUP(MONTH($A705)/3,0))</f>
        <v/>
      </c>
    </row>
    <row r="706">
      <c r="A706" s="33" t="n"/>
      <c r="B706" s="16" t="n"/>
      <c r="C706" s="16" t="n"/>
      <c r="D706" s="16" t="n"/>
      <c r="E706" s="34" t="n"/>
      <c r="F706" s="18" t="n"/>
      <c r="G706" s="35">
        <f>IF($E706="","",$E706*$F706/100)</f>
        <v/>
      </c>
      <c r="H706" s="18" t="n"/>
      <c r="I706" s="35">
        <f>IF($E706="","",$E706*$H706/100)</f>
        <v/>
      </c>
      <c r="J706" s="35">
        <f>IF($E706="","",$E706+$G706-$I706)</f>
        <v/>
      </c>
      <c r="K706" s="16" t="n"/>
      <c r="L706" s="20">
        <f>IF($A706="","",ROUNDUP(MONTH($A706)/3,0))</f>
        <v/>
      </c>
    </row>
    <row r="707">
      <c r="A707" s="33" t="n"/>
      <c r="B707" s="16" t="n"/>
      <c r="C707" s="16" t="n"/>
      <c r="D707" s="16" t="n"/>
      <c r="E707" s="34" t="n"/>
      <c r="F707" s="18" t="n"/>
      <c r="G707" s="35">
        <f>IF($E707="","",$E707*$F707/100)</f>
        <v/>
      </c>
      <c r="H707" s="18" t="n"/>
      <c r="I707" s="35">
        <f>IF($E707="","",$E707*$H707/100)</f>
        <v/>
      </c>
      <c r="J707" s="35">
        <f>IF($E707="","",$E707+$G707-$I707)</f>
        <v/>
      </c>
      <c r="K707" s="16" t="n"/>
      <c r="L707" s="20">
        <f>IF($A707="","",ROUNDUP(MONTH($A707)/3,0))</f>
        <v/>
      </c>
    </row>
    <row r="708">
      <c r="A708" s="33" t="n"/>
      <c r="B708" s="16" t="n"/>
      <c r="C708" s="16" t="n"/>
      <c r="D708" s="16" t="n"/>
      <c r="E708" s="34" t="n"/>
      <c r="F708" s="18" t="n"/>
      <c r="G708" s="35">
        <f>IF($E708="","",$E708*$F708/100)</f>
        <v/>
      </c>
      <c r="H708" s="18" t="n"/>
      <c r="I708" s="35">
        <f>IF($E708="","",$E708*$H708/100)</f>
        <v/>
      </c>
      <c r="J708" s="35">
        <f>IF($E708="","",$E708+$G708-$I708)</f>
        <v/>
      </c>
      <c r="K708" s="16" t="n"/>
      <c r="L708" s="20">
        <f>IF($A708="","",ROUNDUP(MONTH($A708)/3,0))</f>
        <v/>
      </c>
    </row>
    <row r="709">
      <c r="A709" s="33" t="n"/>
      <c r="B709" s="16" t="n"/>
      <c r="C709" s="16" t="n"/>
      <c r="D709" s="16" t="n"/>
      <c r="E709" s="34" t="n"/>
      <c r="F709" s="18" t="n"/>
      <c r="G709" s="35">
        <f>IF($E709="","",$E709*$F709/100)</f>
        <v/>
      </c>
      <c r="H709" s="18" t="n"/>
      <c r="I709" s="35">
        <f>IF($E709="","",$E709*$H709/100)</f>
        <v/>
      </c>
      <c r="J709" s="35">
        <f>IF($E709="","",$E709+$G709-$I709)</f>
        <v/>
      </c>
      <c r="K709" s="16" t="n"/>
      <c r="L709" s="20">
        <f>IF($A709="","",ROUNDUP(MONTH($A709)/3,0))</f>
        <v/>
      </c>
    </row>
    <row r="710">
      <c r="A710" s="33" t="n"/>
      <c r="B710" s="16" t="n"/>
      <c r="C710" s="16" t="n"/>
      <c r="D710" s="16" t="n"/>
      <c r="E710" s="34" t="n"/>
      <c r="F710" s="18" t="n"/>
      <c r="G710" s="35">
        <f>IF($E710="","",$E710*$F710/100)</f>
        <v/>
      </c>
      <c r="H710" s="18" t="n"/>
      <c r="I710" s="35">
        <f>IF($E710="","",$E710*$H710/100)</f>
        <v/>
      </c>
      <c r="J710" s="35">
        <f>IF($E710="","",$E710+$G710-$I710)</f>
        <v/>
      </c>
      <c r="K710" s="16" t="n"/>
      <c r="L710" s="20">
        <f>IF($A710="","",ROUNDUP(MONTH($A710)/3,0))</f>
        <v/>
      </c>
    </row>
    <row r="711">
      <c r="A711" s="33" t="n"/>
      <c r="B711" s="16" t="n"/>
      <c r="C711" s="16" t="n"/>
      <c r="D711" s="16" t="n"/>
      <c r="E711" s="34" t="n"/>
      <c r="F711" s="18" t="n"/>
      <c r="G711" s="35">
        <f>IF($E711="","",$E711*$F711/100)</f>
        <v/>
      </c>
      <c r="H711" s="18" t="n"/>
      <c r="I711" s="35">
        <f>IF($E711="","",$E711*$H711/100)</f>
        <v/>
      </c>
      <c r="J711" s="35">
        <f>IF($E711="","",$E711+$G711-$I711)</f>
        <v/>
      </c>
      <c r="K711" s="16" t="n"/>
      <c r="L711" s="20">
        <f>IF($A711="","",ROUNDUP(MONTH($A711)/3,0))</f>
        <v/>
      </c>
    </row>
    <row r="712">
      <c r="A712" s="33" t="n"/>
      <c r="B712" s="16" t="n"/>
      <c r="C712" s="16" t="n"/>
      <c r="D712" s="16" t="n"/>
      <c r="E712" s="34" t="n"/>
      <c r="F712" s="18" t="n"/>
      <c r="G712" s="35">
        <f>IF($E712="","",$E712*$F712/100)</f>
        <v/>
      </c>
      <c r="H712" s="18" t="n"/>
      <c r="I712" s="35">
        <f>IF($E712="","",$E712*$H712/100)</f>
        <v/>
      </c>
      <c r="J712" s="35">
        <f>IF($E712="","",$E712+$G712-$I712)</f>
        <v/>
      </c>
      <c r="K712" s="16" t="n"/>
      <c r="L712" s="20">
        <f>IF($A712="","",ROUNDUP(MONTH($A712)/3,0))</f>
        <v/>
      </c>
    </row>
    <row r="713">
      <c r="A713" s="33" t="n"/>
      <c r="B713" s="16" t="n"/>
      <c r="C713" s="16" t="n"/>
      <c r="D713" s="16" t="n"/>
      <c r="E713" s="34" t="n"/>
      <c r="F713" s="18" t="n"/>
      <c r="G713" s="35">
        <f>IF($E713="","",$E713*$F713/100)</f>
        <v/>
      </c>
      <c r="H713" s="18" t="n"/>
      <c r="I713" s="35">
        <f>IF($E713="","",$E713*$H713/100)</f>
        <v/>
      </c>
      <c r="J713" s="35">
        <f>IF($E713="","",$E713+$G713-$I713)</f>
        <v/>
      </c>
      <c r="K713" s="16" t="n"/>
      <c r="L713" s="20">
        <f>IF($A713="","",ROUNDUP(MONTH($A713)/3,0))</f>
        <v/>
      </c>
    </row>
    <row r="714">
      <c r="A714" s="33" t="n"/>
      <c r="B714" s="16" t="n"/>
      <c r="C714" s="16" t="n"/>
      <c r="D714" s="16" t="n"/>
      <c r="E714" s="34" t="n"/>
      <c r="F714" s="18" t="n"/>
      <c r="G714" s="35">
        <f>IF($E714="","",$E714*$F714/100)</f>
        <v/>
      </c>
      <c r="H714" s="18" t="n"/>
      <c r="I714" s="35">
        <f>IF($E714="","",$E714*$H714/100)</f>
        <v/>
      </c>
      <c r="J714" s="35">
        <f>IF($E714="","",$E714+$G714-$I714)</f>
        <v/>
      </c>
      <c r="K714" s="16" t="n"/>
      <c r="L714" s="20">
        <f>IF($A714="","",ROUNDUP(MONTH($A714)/3,0))</f>
        <v/>
      </c>
    </row>
    <row r="715">
      <c r="A715" s="33" t="n"/>
      <c r="B715" s="16" t="n"/>
      <c r="C715" s="16" t="n"/>
      <c r="D715" s="16" t="n"/>
      <c r="E715" s="34" t="n"/>
      <c r="F715" s="18" t="n"/>
      <c r="G715" s="35">
        <f>IF($E715="","",$E715*$F715/100)</f>
        <v/>
      </c>
      <c r="H715" s="18" t="n"/>
      <c r="I715" s="35">
        <f>IF($E715="","",$E715*$H715/100)</f>
        <v/>
      </c>
      <c r="J715" s="35">
        <f>IF($E715="","",$E715+$G715-$I715)</f>
        <v/>
      </c>
      <c r="K715" s="16" t="n"/>
      <c r="L715" s="20">
        <f>IF($A715="","",ROUNDUP(MONTH($A715)/3,0))</f>
        <v/>
      </c>
    </row>
    <row r="716">
      <c r="A716" s="33" t="n"/>
      <c r="B716" s="16" t="n"/>
      <c r="C716" s="16" t="n"/>
      <c r="D716" s="16" t="n"/>
      <c r="E716" s="34" t="n"/>
      <c r="F716" s="18" t="n"/>
      <c r="G716" s="35">
        <f>IF($E716="","",$E716*$F716/100)</f>
        <v/>
      </c>
      <c r="H716" s="18" t="n"/>
      <c r="I716" s="35">
        <f>IF($E716="","",$E716*$H716/100)</f>
        <v/>
      </c>
      <c r="J716" s="35">
        <f>IF($E716="","",$E716+$G716-$I716)</f>
        <v/>
      </c>
      <c r="K716" s="16" t="n"/>
      <c r="L716" s="20">
        <f>IF($A716="","",ROUNDUP(MONTH($A716)/3,0))</f>
        <v/>
      </c>
    </row>
    <row r="717">
      <c r="A717" s="33" t="n"/>
      <c r="B717" s="16" t="n"/>
      <c r="C717" s="16" t="n"/>
      <c r="D717" s="16" t="n"/>
      <c r="E717" s="34" t="n"/>
      <c r="F717" s="18" t="n"/>
      <c r="G717" s="35">
        <f>IF($E717="","",$E717*$F717/100)</f>
        <v/>
      </c>
      <c r="H717" s="18" t="n"/>
      <c r="I717" s="35">
        <f>IF($E717="","",$E717*$H717/100)</f>
        <v/>
      </c>
      <c r="J717" s="35">
        <f>IF($E717="","",$E717+$G717-$I717)</f>
        <v/>
      </c>
      <c r="K717" s="16" t="n"/>
      <c r="L717" s="20">
        <f>IF($A717="","",ROUNDUP(MONTH($A717)/3,0))</f>
        <v/>
      </c>
    </row>
    <row r="718">
      <c r="A718" s="33" t="n"/>
      <c r="B718" s="16" t="n"/>
      <c r="C718" s="16" t="n"/>
      <c r="D718" s="16" t="n"/>
      <c r="E718" s="34" t="n"/>
      <c r="F718" s="18" t="n"/>
      <c r="G718" s="35">
        <f>IF($E718="","",$E718*$F718/100)</f>
        <v/>
      </c>
      <c r="H718" s="18" t="n"/>
      <c r="I718" s="35">
        <f>IF($E718="","",$E718*$H718/100)</f>
        <v/>
      </c>
      <c r="J718" s="35">
        <f>IF($E718="","",$E718+$G718-$I718)</f>
        <v/>
      </c>
      <c r="K718" s="16" t="n"/>
      <c r="L718" s="20">
        <f>IF($A718="","",ROUNDUP(MONTH($A718)/3,0))</f>
        <v/>
      </c>
    </row>
    <row r="719">
      <c r="A719" s="33" t="n"/>
      <c r="B719" s="16" t="n"/>
      <c r="C719" s="16" t="n"/>
      <c r="D719" s="16" t="n"/>
      <c r="E719" s="34" t="n"/>
      <c r="F719" s="18" t="n"/>
      <c r="G719" s="35">
        <f>IF($E719="","",$E719*$F719/100)</f>
        <v/>
      </c>
      <c r="H719" s="18" t="n"/>
      <c r="I719" s="35">
        <f>IF($E719="","",$E719*$H719/100)</f>
        <v/>
      </c>
      <c r="J719" s="35">
        <f>IF($E719="","",$E719+$G719-$I719)</f>
        <v/>
      </c>
      <c r="K719" s="16" t="n"/>
      <c r="L719" s="20">
        <f>IF($A719="","",ROUNDUP(MONTH($A719)/3,0))</f>
        <v/>
      </c>
    </row>
    <row r="720">
      <c r="A720" s="33" t="n"/>
      <c r="B720" s="16" t="n"/>
      <c r="C720" s="16" t="n"/>
      <c r="D720" s="16" t="n"/>
      <c r="E720" s="34" t="n"/>
      <c r="F720" s="18" t="n"/>
      <c r="G720" s="35">
        <f>IF($E720="","",$E720*$F720/100)</f>
        <v/>
      </c>
      <c r="H720" s="18" t="n"/>
      <c r="I720" s="35">
        <f>IF($E720="","",$E720*$H720/100)</f>
        <v/>
      </c>
      <c r="J720" s="35">
        <f>IF($E720="","",$E720+$G720-$I720)</f>
        <v/>
      </c>
      <c r="K720" s="16" t="n"/>
      <c r="L720" s="20">
        <f>IF($A720="","",ROUNDUP(MONTH($A720)/3,0))</f>
        <v/>
      </c>
    </row>
    <row r="721">
      <c r="A721" s="33" t="n"/>
      <c r="B721" s="16" t="n"/>
      <c r="C721" s="16" t="n"/>
      <c r="D721" s="16" t="n"/>
      <c r="E721" s="34" t="n"/>
      <c r="F721" s="18" t="n"/>
      <c r="G721" s="35">
        <f>IF($E721="","",$E721*$F721/100)</f>
        <v/>
      </c>
      <c r="H721" s="18" t="n"/>
      <c r="I721" s="35">
        <f>IF($E721="","",$E721*$H721/100)</f>
        <v/>
      </c>
      <c r="J721" s="35">
        <f>IF($E721="","",$E721+$G721-$I721)</f>
        <v/>
      </c>
      <c r="K721" s="16" t="n"/>
      <c r="L721" s="20">
        <f>IF($A721="","",ROUNDUP(MONTH($A721)/3,0))</f>
        <v/>
      </c>
    </row>
    <row r="722">
      <c r="A722" s="33" t="n"/>
      <c r="B722" s="16" t="n"/>
      <c r="C722" s="16" t="n"/>
      <c r="D722" s="16" t="n"/>
      <c r="E722" s="34" t="n"/>
      <c r="F722" s="18" t="n"/>
      <c r="G722" s="35">
        <f>IF($E722="","",$E722*$F722/100)</f>
        <v/>
      </c>
      <c r="H722" s="18" t="n"/>
      <c r="I722" s="35">
        <f>IF($E722="","",$E722*$H722/100)</f>
        <v/>
      </c>
      <c r="J722" s="35">
        <f>IF($E722="","",$E722+$G722-$I722)</f>
        <v/>
      </c>
      <c r="K722" s="16" t="n"/>
      <c r="L722" s="20">
        <f>IF($A722="","",ROUNDUP(MONTH($A722)/3,0))</f>
        <v/>
      </c>
    </row>
    <row r="723">
      <c r="A723" s="33" t="n"/>
      <c r="B723" s="16" t="n"/>
      <c r="C723" s="16" t="n"/>
      <c r="D723" s="16" t="n"/>
      <c r="E723" s="34" t="n"/>
      <c r="F723" s="18" t="n"/>
      <c r="G723" s="35">
        <f>IF($E723="","",$E723*$F723/100)</f>
        <v/>
      </c>
      <c r="H723" s="18" t="n"/>
      <c r="I723" s="35">
        <f>IF($E723="","",$E723*$H723/100)</f>
        <v/>
      </c>
      <c r="J723" s="35">
        <f>IF($E723="","",$E723+$G723-$I723)</f>
        <v/>
      </c>
      <c r="K723" s="16" t="n"/>
      <c r="L723" s="20">
        <f>IF($A723="","",ROUNDUP(MONTH($A723)/3,0))</f>
        <v/>
      </c>
    </row>
    <row r="724">
      <c r="A724" s="33" t="n"/>
      <c r="B724" s="16" t="n"/>
      <c r="C724" s="16" t="n"/>
      <c r="D724" s="16" t="n"/>
      <c r="E724" s="34" t="n"/>
      <c r="F724" s="18" t="n"/>
      <c r="G724" s="35">
        <f>IF($E724="","",$E724*$F724/100)</f>
        <v/>
      </c>
      <c r="H724" s="18" t="n"/>
      <c r="I724" s="35">
        <f>IF($E724="","",$E724*$H724/100)</f>
        <v/>
      </c>
      <c r="J724" s="35">
        <f>IF($E724="","",$E724+$G724-$I724)</f>
        <v/>
      </c>
      <c r="K724" s="16" t="n"/>
      <c r="L724" s="20">
        <f>IF($A724="","",ROUNDUP(MONTH($A724)/3,0))</f>
        <v/>
      </c>
    </row>
    <row r="725">
      <c r="A725" s="33" t="n"/>
      <c r="B725" s="16" t="n"/>
      <c r="C725" s="16" t="n"/>
      <c r="D725" s="16" t="n"/>
      <c r="E725" s="34" t="n"/>
      <c r="F725" s="18" t="n"/>
      <c r="G725" s="35">
        <f>IF($E725="","",$E725*$F725/100)</f>
        <v/>
      </c>
      <c r="H725" s="18" t="n"/>
      <c r="I725" s="35">
        <f>IF($E725="","",$E725*$H725/100)</f>
        <v/>
      </c>
      <c r="J725" s="35">
        <f>IF($E725="","",$E725+$G725-$I725)</f>
        <v/>
      </c>
      <c r="K725" s="16" t="n"/>
      <c r="L725" s="20">
        <f>IF($A725="","",ROUNDUP(MONTH($A725)/3,0))</f>
        <v/>
      </c>
    </row>
    <row r="726">
      <c r="A726" s="33" t="n"/>
      <c r="B726" s="16" t="n"/>
      <c r="C726" s="16" t="n"/>
      <c r="D726" s="16" t="n"/>
      <c r="E726" s="34" t="n"/>
      <c r="F726" s="18" t="n"/>
      <c r="G726" s="35">
        <f>IF($E726="","",$E726*$F726/100)</f>
        <v/>
      </c>
      <c r="H726" s="18" t="n"/>
      <c r="I726" s="35">
        <f>IF($E726="","",$E726*$H726/100)</f>
        <v/>
      </c>
      <c r="J726" s="35">
        <f>IF($E726="","",$E726+$G726-$I726)</f>
        <v/>
      </c>
      <c r="K726" s="16" t="n"/>
      <c r="L726" s="20">
        <f>IF($A726="","",ROUNDUP(MONTH($A726)/3,0))</f>
        <v/>
      </c>
    </row>
    <row r="727">
      <c r="A727" s="33" t="n"/>
      <c r="B727" s="16" t="n"/>
      <c r="C727" s="16" t="n"/>
      <c r="D727" s="16" t="n"/>
      <c r="E727" s="34" t="n"/>
      <c r="F727" s="18" t="n"/>
      <c r="G727" s="35">
        <f>IF($E727="","",$E727*$F727/100)</f>
        <v/>
      </c>
      <c r="H727" s="18" t="n"/>
      <c r="I727" s="35">
        <f>IF($E727="","",$E727*$H727/100)</f>
        <v/>
      </c>
      <c r="J727" s="35">
        <f>IF($E727="","",$E727+$G727-$I727)</f>
        <v/>
      </c>
      <c r="K727" s="16" t="n"/>
      <c r="L727" s="20">
        <f>IF($A727="","",ROUNDUP(MONTH($A727)/3,0))</f>
        <v/>
      </c>
    </row>
    <row r="728">
      <c r="A728" s="33" t="n"/>
      <c r="B728" s="16" t="n"/>
      <c r="C728" s="16" t="n"/>
      <c r="D728" s="16" t="n"/>
      <c r="E728" s="34" t="n"/>
      <c r="F728" s="18" t="n"/>
      <c r="G728" s="35">
        <f>IF($E728="","",$E728*$F728/100)</f>
        <v/>
      </c>
      <c r="H728" s="18" t="n"/>
      <c r="I728" s="35">
        <f>IF($E728="","",$E728*$H728/100)</f>
        <v/>
      </c>
      <c r="J728" s="35">
        <f>IF($E728="","",$E728+$G728-$I728)</f>
        <v/>
      </c>
      <c r="K728" s="16" t="n"/>
      <c r="L728" s="20">
        <f>IF($A728="","",ROUNDUP(MONTH($A728)/3,0))</f>
        <v/>
      </c>
    </row>
    <row r="729">
      <c r="A729" s="33" t="n"/>
      <c r="B729" s="16" t="n"/>
      <c r="C729" s="16" t="n"/>
      <c r="D729" s="16" t="n"/>
      <c r="E729" s="34" t="n"/>
      <c r="F729" s="18" t="n"/>
      <c r="G729" s="35">
        <f>IF($E729="","",$E729*$F729/100)</f>
        <v/>
      </c>
      <c r="H729" s="18" t="n"/>
      <c r="I729" s="35">
        <f>IF($E729="","",$E729*$H729/100)</f>
        <v/>
      </c>
      <c r="J729" s="35">
        <f>IF($E729="","",$E729+$G729-$I729)</f>
        <v/>
      </c>
      <c r="K729" s="16" t="n"/>
      <c r="L729" s="20">
        <f>IF($A729="","",ROUNDUP(MONTH($A729)/3,0))</f>
        <v/>
      </c>
    </row>
    <row r="730">
      <c r="A730" s="33" t="n"/>
      <c r="B730" s="16" t="n"/>
      <c r="C730" s="16" t="n"/>
      <c r="D730" s="16" t="n"/>
      <c r="E730" s="34" t="n"/>
      <c r="F730" s="18" t="n"/>
      <c r="G730" s="35">
        <f>IF($E730="","",$E730*$F730/100)</f>
        <v/>
      </c>
      <c r="H730" s="18" t="n"/>
      <c r="I730" s="35">
        <f>IF($E730="","",$E730*$H730/100)</f>
        <v/>
      </c>
      <c r="J730" s="35">
        <f>IF($E730="","",$E730+$G730-$I730)</f>
        <v/>
      </c>
      <c r="K730" s="16" t="n"/>
      <c r="L730" s="20">
        <f>IF($A730="","",ROUNDUP(MONTH($A730)/3,0))</f>
        <v/>
      </c>
    </row>
    <row r="731">
      <c r="A731" s="33" t="n"/>
      <c r="B731" s="16" t="n"/>
      <c r="C731" s="16" t="n"/>
      <c r="D731" s="16" t="n"/>
      <c r="E731" s="34" t="n"/>
      <c r="F731" s="18" t="n"/>
      <c r="G731" s="35">
        <f>IF($E731="","",$E731*$F731/100)</f>
        <v/>
      </c>
      <c r="H731" s="18" t="n"/>
      <c r="I731" s="35">
        <f>IF($E731="","",$E731*$H731/100)</f>
        <v/>
      </c>
      <c r="J731" s="35">
        <f>IF($E731="","",$E731+$G731-$I731)</f>
        <v/>
      </c>
      <c r="K731" s="16" t="n"/>
      <c r="L731" s="20">
        <f>IF($A731="","",ROUNDUP(MONTH($A731)/3,0))</f>
        <v/>
      </c>
    </row>
    <row r="732">
      <c r="A732" s="33" t="n"/>
      <c r="B732" s="16" t="n"/>
      <c r="C732" s="16" t="n"/>
      <c r="D732" s="16" t="n"/>
      <c r="E732" s="34" t="n"/>
      <c r="F732" s="18" t="n"/>
      <c r="G732" s="35">
        <f>IF($E732="","",$E732*$F732/100)</f>
        <v/>
      </c>
      <c r="H732" s="18" t="n"/>
      <c r="I732" s="35">
        <f>IF($E732="","",$E732*$H732/100)</f>
        <v/>
      </c>
      <c r="J732" s="35">
        <f>IF($E732="","",$E732+$G732-$I732)</f>
        <v/>
      </c>
      <c r="K732" s="16" t="n"/>
      <c r="L732" s="20">
        <f>IF($A732="","",ROUNDUP(MONTH($A732)/3,0))</f>
        <v/>
      </c>
    </row>
    <row r="733">
      <c r="A733" s="33" t="n"/>
      <c r="B733" s="16" t="n"/>
      <c r="C733" s="16" t="n"/>
      <c r="D733" s="16" t="n"/>
      <c r="E733" s="34" t="n"/>
      <c r="F733" s="18" t="n"/>
      <c r="G733" s="35">
        <f>IF($E733="","",$E733*$F733/100)</f>
        <v/>
      </c>
      <c r="H733" s="18" t="n"/>
      <c r="I733" s="35">
        <f>IF($E733="","",$E733*$H733/100)</f>
        <v/>
      </c>
      <c r="J733" s="35">
        <f>IF($E733="","",$E733+$G733-$I733)</f>
        <v/>
      </c>
      <c r="K733" s="16" t="n"/>
      <c r="L733" s="20">
        <f>IF($A733="","",ROUNDUP(MONTH($A733)/3,0))</f>
        <v/>
      </c>
    </row>
    <row r="734">
      <c r="A734" s="33" t="n"/>
      <c r="B734" s="16" t="n"/>
      <c r="C734" s="16" t="n"/>
      <c r="D734" s="16" t="n"/>
      <c r="E734" s="34" t="n"/>
      <c r="F734" s="18" t="n"/>
      <c r="G734" s="35">
        <f>IF($E734="","",$E734*$F734/100)</f>
        <v/>
      </c>
      <c r="H734" s="18" t="n"/>
      <c r="I734" s="35">
        <f>IF($E734="","",$E734*$H734/100)</f>
        <v/>
      </c>
      <c r="J734" s="35">
        <f>IF($E734="","",$E734+$G734-$I734)</f>
        <v/>
      </c>
      <c r="K734" s="16" t="n"/>
      <c r="L734" s="20">
        <f>IF($A734="","",ROUNDUP(MONTH($A734)/3,0))</f>
        <v/>
      </c>
    </row>
    <row r="735">
      <c r="A735" s="33" t="n"/>
      <c r="B735" s="16" t="n"/>
      <c r="C735" s="16" t="n"/>
      <c r="D735" s="16" t="n"/>
      <c r="E735" s="34" t="n"/>
      <c r="F735" s="18" t="n"/>
      <c r="G735" s="35">
        <f>IF($E735="","",$E735*$F735/100)</f>
        <v/>
      </c>
      <c r="H735" s="18" t="n"/>
      <c r="I735" s="35">
        <f>IF($E735="","",$E735*$H735/100)</f>
        <v/>
      </c>
      <c r="J735" s="35">
        <f>IF($E735="","",$E735+$G735-$I735)</f>
        <v/>
      </c>
      <c r="K735" s="16" t="n"/>
      <c r="L735" s="20">
        <f>IF($A735="","",ROUNDUP(MONTH($A735)/3,0))</f>
        <v/>
      </c>
    </row>
    <row r="736">
      <c r="A736" s="33" t="n"/>
      <c r="B736" s="16" t="n"/>
      <c r="C736" s="16" t="n"/>
      <c r="D736" s="16" t="n"/>
      <c r="E736" s="34" t="n"/>
      <c r="F736" s="18" t="n"/>
      <c r="G736" s="35">
        <f>IF($E736="","",$E736*$F736/100)</f>
        <v/>
      </c>
      <c r="H736" s="18" t="n"/>
      <c r="I736" s="35">
        <f>IF($E736="","",$E736*$H736/100)</f>
        <v/>
      </c>
      <c r="J736" s="35">
        <f>IF($E736="","",$E736+$G736-$I736)</f>
        <v/>
      </c>
      <c r="K736" s="16" t="n"/>
      <c r="L736" s="20">
        <f>IF($A736="","",ROUNDUP(MONTH($A736)/3,0))</f>
        <v/>
      </c>
    </row>
    <row r="737">
      <c r="A737" s="33" t="n"/>
      <c r="B737" s="16" t="n"/>
      <c r="C737" s="16" t="n"/>
      <c r="D737" s="16" t="n"/>
      <c r="E737" s="34" t="n"/>
      <c r="F737" s="18" t="n"/>
      <c r="G737" s="35">
        <f>IF($E737="","",$E737*$F737/100)</f>
        <v/>
      </c>
      <c r="H737" s="18" t="n"/>
      <c r="I737" s="35">
        <f>IF($E737="","",$E737*$H737/100)</f>
        <v/>
      </c>
      <c r="J737" s="35">
        <f>IF($E737="","",$E737+$G737-$I737)</f>
        <v/>
      </c>
      <c r="K737" s="16" t="n"/>
      <c r="L737" s="20">
        <f>IF($A737="","",ROUNDUP(MONTH($A737)/3,0))</f>
        <v/>
      </c>
    </row>
    <row r="738">
      <c r="A738" s="33" t="n"/>
      <c r="B738" s="16" t="n"/>
      <c r="C738" s="16" t="n"/>
      <c r="D738" s="16" t="n"/>
      <c r="E738" s="34" t="n"/>
      <c r="F738" s="18" t="n"/>
      <c r="G738" s="35">
        <f>IF($E738="","",$E738*$F738/100)</f>
        <v/>
      </c>
      <c r="H738" s="18" t="n"/>
      <c r="I738" s="35">
        <f>IF($E738="","",$E738*$H738/100)</f>
        <v/>
      </c>
      <c r="J738" s="35">
        <f>IF($E738="","",$E738+$G738-$I738)</f>
        <v/>
      </c>
      <c r="K738" s="16" t="n"/>
      <c r="L738" s="20">
        <f>IF($A738="","",ROUNDUP(MONTH($A738)/3,0))</f>
        <v/>
      </c>
    </row>
    <row r="739">
      <c r="A739" s="33" t="n"/>
      <c r="B739" s="16" t="n"/>
      <c r="C739" s="16" t="n"/>
      <c r="D739" s="16" t="n"/>
      <c r="E739" s="34" t="n"/>
      <c r="F739" s="18" t="n"/>
      <c r="G739" s="35">
        <f>IF($E739="","",$E739*$F739/100)</f>
        <v/>
      </c>
      <c r="H739" s="18" t="n"/>
      <c r="I739" s="35">
        <f>IF($E739="","",$E739*$H739/100)</f>
        <v/>
      </c>
      <c r="J739" s="35">
        <f>IF($E739="","",$E739+$G739-$I739)</f>
        <v/>
      </c>
      <c r="K739" s="16" t="n"/>
      <c r="L739" s="20">
        <f>IF($A739="","",ROUNDUP(MONTH($A739)/3,0))</f>
        <v/>
      </c>
    </row>
    <row r="740">
      <c r="A740" s="33" t="n"/>
      <c r="B740" s="16" t="n"/>
      <c r="C740" s="16" t="n"/>
      <c r="D740" s="16" t="n"/>
      <c r="E740" s="34" t="n"/>
      <c r="F740" s="18" t="n"/>
      <c r="G740" s="35">
        <f>IF($E740="","",$E740*$F740/100)</f>
        <v/>
      </c>
      <c r="H740" s="18" t="n"/>
      <c r="I740" s="35">
        <f>IF($E740="","",$E740*$H740/100)</f>
        <v/>
      </c>
      <c r="J740" s="35">
        <f>IF($E740="","",$E740+$G740-$I740)</f>
        <v/>
      </c>
      <c r="K740" s="16" t="n"/>
      <c r="L740" s="20">
        <f>IF($A740="","",ROUNDUP(MONTH($A740)/3,0))</f>
        <v/>
      </c>
    </row>
    <row r="741">
      <c r="A741" s="33" t="n"/>
      <c r="B741" s="16" t="n"/>
      <c r="C741" s="16" t="n"/>
      <c r="D741" s="16" t="n"/>
      <c r="E741" s="34" t="n"/>
      <c r="F741" s="18" t="n"/>
      <c r="G741" s="35">
        <f>IF($E741="","",$E741*$F741/100)</f>
        <v/>
      </c>
      <c r="H741" s="18" t="n"/>
      <c r="I741" s="35">
        <f>IF($E741="","",$E741*$H741/100)</f>
        <v/>
      </c>
      <c r="J741" s="35">
        <f>IF($E741="","",$E741+$G741-$I741)</f>
        <v/>
      </c>
      <c r="K741" s="16" t="n"/>
      <c r="L741" s="20">
        <f>IF($A741="","",ROUNDUP(MONTH($A741)/3,0))</f>
        <v/>
      </c>
    </row>
    <row r="742">
      <c r="A742" s="33" t="n"/>
      <c r="B742" s="16" t="n"/>
      <c r="C742" s="16" t="n"/>
      <c r="D742" s="16" t="n"/>
      <c r="E742" s="34" t="n"/>
      <c r="F742" s="18" t="n"/>
      <c r="G742" s="35">
        <f>IF($E742="","",$E742*$F742/100)</f>
        <v/>
      </c>
      <c r="H742" s="18" t="n"/>
      <c r="I742" s="35">
        <f>IF($E742="","",$E742*$H742/100)</f>
        <v/>
      </c>
      <c r="J742" s="35">
        <f>IF($E742="","",$E742+$G742-$I742)</f>
        <v/>
      </c>
      <c r="K742" s="16" t="n"/>
      <c r="L742" s="20">
        <f>IF($A742="","",ROUNDUP(MONTH($A742)/3,0))</f>
        <v/>
      </c>
    </row>
    <row r="743">
      <c r="A743" s="33" t="n"/>
      <c r="B743" s="16" t="n"/>
      <c r="C743" s="16" t="n"/>
      <c r="D743" s="16" t="n"/>
      <c r="E743" s="34" t="n"/>
      <c r="F743" s="18" t="n"/>
      <c r="G743" s="35">
        <f>IF($E743="","",$E743*$F743/100)</f>
        <v/>
      </c>
      <c r="H743" s="18" t="n"/>
      <c r="I743" s="35">
        <f>IF($E743="","",$E743*$H743/100)</f>
        <v/>
      </c>
      <c r="J743" s="35">
        <f>IF($E743="","",$E743+$G743-$I743)</f>
        <v/>
      </c>
      <c r="K743" s="16" t="n"/>
      <c r="L743" s="20">
        <f>IF($A743="","",ROUNDUP(MONTH($A743)/3,0))</f>
        <v/>
      </c>
    </row>
    <row r="744">
      <c r="A744" s="33" t="n"/>
      <c r="B744" s="16" t="n"/>
      <c r="C744" s="16" t="n"/>
      <c r="D744" s="16" t="n"/>
      <c r="E744" s="34" t="n"/>
      <c r="F744" s="18" t="n"/>
      <c r="G744" s="35">
        <f>IF($E744="","",$E744*$F744/100)</f>
        <v/>
      </c>
      <c r="H744" s="18" t="n"/>
      <c r="I744" s="35">
        <f>IF($E744="","",$E744*$H744/100)</f>
        <v/>
      </c>
      <c r="J744" s="35">
        <f>IF($E744="","",$E744+$G744-$I744)</f>
        <v/>
      </c>
      <c r="K744" s="16" t="n"/>
      <c r="L744" s="20">
        <f>IF($A744="","",ROUNDUP(MONTH($A744)/3,0))</f>
        <v/>
      </c>
    </row>
    <row r="745">
      <c r="A745" s="33" t="n"/>
      <c r="B745" s="16" t="n"/>
      <c r="C745" s="16" t="n"/>
      <c r="D745" s="16" t="n"/>
      <c r="E745" s="34" t="n"/>
      <c r="F745" s="18" t="n"/>
      <c r="G745" s="35">
        <f>IF($E745="","",$E745*$F745/100)</f>
        <v/>
      </c>
      <c r="H745" s="18" t="n"/>
      <c r="I745" s="35">
        <f>IF($E745="","",$E745*$H745/100)</f>
        <v/>
      </c>
      <c r="J745" s="35">
        <f>IF($E745="","",$E745+$G745-$I745)</f>
        <v/>
      </c>
      <c r="K745" s="16" t="n"/>
      <c r="L745" s="20">
        <f>IF($A745="","",ROUNDUP(MONTH($A745)/3,0))</f>
        <v/>
      </c>
    </row>
    <row r="746">
      <c r="A746" s="33" t="n"/>
      <c r="B746" s="16" t="n"/>
      <c r="C746" s="16" t="n"/>
      <c r="D746" s="16" t="n"/>
      <c r="E746" s="34" t="n"/>
      <c r="F746" s="18" t="n"/>
      <c r="G746" s="35">
        <f>IF($E746="","",$E746*$F746/100)</f>
        <v/>
      </c>
      <c r="H746" s="18" t="n"/>
      <c r="I746" s="35">
        <f>IF($E746="","",$E746*$H746/100)</f>
        <v/>
      </c>
      <c r="J746" s="35">
        <f>IF($E746="","",$E746+$G746-$I746)</f>
        <v/>
      </c>
      <c r="K746" s="16" t="n"/>
      <c r="L746" s="20">
        <f>IF($A746="","",ROUNDUP(MONTH($A746)/3,0))</f>
        <v/>
      </c>
    </row>
    <row r="747">
      <c r="A747" s="33" t="n"/>
      <c r="B747" s="16" t="n"/>
      <c r="C747" s="16" t="n"/>
      <c r="D747" s="16" t="n"/>
      <c r="E747" s="34" t="n"/>
      <c r="F747" s="18" t="n"/>
      <c r="G747" s="35">
        <f>IF($E747="","",$E747*$F747/100)</f>
        <v/>
      </c>
      <c r="H747" s="18" t="n"/>
      <c r="I747" s="35">
        <f>IF($E747="","",$E747*$H747/100)</f>
        <v/>
      </c>
      <c r="J747" s="35">
        <f>IF($E747="","",$E747+$G747-$I747)</f>
        <v/>
      </c>
      <c r="K747" s="16" t="n"/>
      <c r="L747" s="20">
        <f>IF($A747="","",ROUNDUP(MONTH($A747)/3,0))</f>
        <v/>
      </c>
    </row>
    <row r="748">
      <c r="A748" s="33" t="n"/>
      <c r="B748" s="16" t="n"/>
      <c r="C748" s="16" t="n"/>
      <c r="D748" s="16" t="n"/>
      <c r="E748" s="34" t="n"/>
      <c r="F748" s="18" t="n"/>
      <c r="G748" s="35">
        <f>IF($E748="","",$E748*$F748/100)</f>
        <v/>
      </c>
      <c r="H748" s="18" t="n"/>
      <c r="I748" s="35">
        <f>IF($E748="","",$E748*$H748/100)</f>
        <v/>
      </c>
      <c r="J748" s="35">
        <f>IF($E748="","",$E748+$G748-$I748)</f>
        <v/>
      </c>
      <c r="K748" s="16" t="n"/>
      <c r="L748" s="20">
        <f>IF($A748="","",ROUNDUP(MONTH($A748)/3,0))</f>
        <v/>
      </c>
    </row>
    <row r="749">
      <c r="A749" s="33" t="n"/>
      <c r="B749" s="16" t="n"/>
      <c r="C749" s="16" t="n"/>
      <c r="D749" s="16" t="n"/>
      <c r="E749" s="34" t="n"/>
      <c r="F749" s="18" t="n"/>
      <c r="G749" s="35">
        <f>IF($E749="","",$E749*$F749/100)</f>
        <v/>
      </c>
      <c r="H749" s="18" t="n"/>
      <c r="I749" s="35">
        <f>IF($E749="","",$E749*$H749/100)</f>
        <v/>
      </c>
      <c r="J749" s="35">
        <f>IF($E749="","",$E749+$G749-$I749)</f>
        <v/>
      </c>
      <c r="K749" s="16" t="n"/>
      <c r="L749" s="20">
        <f>IF($A749="","",ROUNDUP(MONTH($A749)/3,0))</f>
        <v/>
      </c>
    </row>
    <row r="750">
      <c r="A750" s="33" t="n"/>
      <c r="B750" s="16" t="n"/>
      <c r="C750" s="16" t="n"/>
      <c r="D750" s="16" t="n"/>
      <c r="E750" s="34" t="n"/>
      <c r="F750" s="18" t="n"/>
      <c r="G750" s="35">
        <f>IF($E750="","",$E750*$F750/100)</f>
        <v/>
      </c>
      <c r="H750" s="18" t="n"/>
      <c r="I750" s="35">
        <f>IF($E750="","",$E750*$H750/100)</f>
        <v/>
      </c>
      <c r="J750" s="35">
        <f>IF($E750="","",$E750+$G750-$I750)</f>
        <v/>
      </c>
      <c r="K750" s="16" t="n"/>
      <c r="L750" s="20">
        <f>IF($A750="","",ROUNDUP(MONTH($A750)/3,0))</f>
        <v/>
      </c>
    </row>
    <row r="751">
      <c r="A751" s="33" t="n"/>
      <c r="B751" s="16" t="n"/>
      <c r="C751" s="16" t="n"/>
      <c r="D751" s="16" t="n"/>
      <c r="E751" s="34" t="n"/>
      <c r="F751" s="18" t="n"/>
      <c r="G751" s="35">
        <f>IF($E751="","",$E751*$F751/100)</f>
        <v/>
      </c>
      <c r="H751" s="18" t="n"/>
      <c r="I751" s="35">
        <f>IF($E751="","",$E751*$H751/100)</f>
        <v/>
      </c>
      <c r="J751" s="35">
        <f>IF($E751="","",$E751+$G751-$I751)</f>
        <v/>
      </c>
      <c r="K751" s="16" t="n"/>
      <c r="L751" s="20">
        <f>IF($A751="","",ROUNDUP(MONTH($A751)/3,0))</f>
        <v/>
      </c>
    </row>
    <row r="752">
      <c r="A752" s="33" t="n"/>
      <c r="B752" s="16" t="n"/>
      <c r="C752" s="16" t="n"/>
      <c r="D752" s="16" t="n"/>
      <c r="E752" s="34" t="n"/>
      <c r="F752" s="18" t="n"/>
      <c r="G752" s="35">
        <f>IF($E752="","",$E752*$F752/100)</f>
        <v/>
      </c>
      <c r="H752" s="18" t="n"/>
      <c r="I752" s="35">
        <f>IF($E752="","",$E752*$H752/100)</f>
        <v/>
      </c>
      <c r="J752" s="35">
        <f>IF($E752="","",$E752+$G752-$I752)</f>
        <v/>
      </c>
      <c r="K752" s="16" t="n"/>
      <c r="L752" s="20">
        <f>IF($A752="","",ROUNDUP(MONTH($A752)/3,0))</f>
        <v/>
      </c>
    </row>
    <row r="753">
      <c r="A753" s="33" t="n"/>
      <c r="B753" s="16" t="n"/>
      <c r="C753" s="16" t="n"/>
      <c r="D753" s="16" t="n"/>
      <c r="E753" s="34" t="n"/>
      <c r="F753" s="18" t="n"/>
      <c r="G753" s="35">
        <f>IF($E753="","",$E753*$F753/100)</f>
        <v/>
      </c>
      <c r="H753" s="18" t="n"/>
      <c r="I753" s="35">
        <f>IF($E753="","",$E753*$H753/100)</f>
        <v/>
      </c>
      <c r="J753" s="35">
        <f>IF($E753="","",$E753+$G753-$I753)</f>
        <v/>
      </c>
      <c r="K753" s="16" t="n"/>
      <c r="L753" s="20">
        <f>IF($A753="","",ROUNDUP(MONTH($A753)/3,0))</f>
        <v/>
      </c>
    </row>
    <row r="754">
      <c r="A754" s="33" t="n"/>
      <c r="B754" s="16" t="n"/>
      <c r="C754" s="16" t="n"/>
      <c r="D754" s="16" t="n"/>
      <c r="E754" s="34" t="n"/>
      <c r="F754" s="18" t="n"/>
      <c r="G754" s="35">
        <f>IF($E754="","",$E754*$F754/100)</f>
        <v/>
      </c>
      <c r="H754" s="18" t="n"/>
      <c r="I754" s="35">
        <f>IF($E754="","",$E754*$H754/100)</f>
        <v/>
      </c>
      <c r="J754" s="35">
        <f>IF($E754="","",$E754+$G754-$I754)</f>
        <v/>
      </c>
      <c r="K754" s="16" t="n"/>
      <c r="L754" s="20">
        <f>IF($A754="","",ROUNDUP(MONTH($A754)/3,0))</f>
        <v/>
      </c>
    </row>
    <row r="755">
      <c r="A755" s="33" t="n"/>
      <c r="B755" s="16" t="n"/>
      <c r="C755" s="16" t="n"/>
      <c r="D755" s="16" t="n"/>
      <c r="E755" s="34" t="n"/>
      <c r="F755" s="18" t="n"/>
      <c r="G755" s="35">
        <f>IF($E755="","",$E755*$F755/100)</f>
        <v/>
      </c>
      <c r="H755" s="18" t="n"/>
      <c r="I755" s="35">
        <f>IF($E755="","",$E755*$H755/100)</f>
        <v/>
      </c>
      <c r="J755" s="35">
        <f>IF($E755="","",$E755+$G755-$I755)</f>
        <v/>
      </c>
      <c r="K755" s="16" t="n"/>
      <c r="L755" s="20">
        <f>IF($A755="","",ROUNDUP(MONTH($A755)/3,0))</f>
        <v/>
      </c>
    </row>
    <row r="756">
      <c r="A756" s="33" t="n"/>
      <c r="B756" s="16" t="n"/>
      <c r="C756" s="16" t="n"/>
      <c r="D756" s="16" t="n"/>
      <c r="E756" s="34" t="n"/>
      <c r="F756" s="18" t="n"/>
      <c r="G756" s="35">
        <f>IF($E756="","",$E756*$F756/100)</f>
        <v/>
      </c>
      <c r="H756" s="18" t="n"/>
      <c r="I756" s="35">
        <f>IF($E756="","",$E756*$H756/100)</f>
        <v/>
      </c>
      <c r="J756" s="35">
        <f>IF($E756="","",$E756+$G756-$I756)</f>
        <v/>
      </c>
      <c r="K756" s="16" t="n"/>
      <c r="L756" s="20">
        <f>IF($A756="","",ROUNDUP(MONTH($A756)/3,0))</f>
        <v/>
      </c>
    </row>
    <row r="757">
      <c r="A757" s="33" t="n"/>
      <c r="B757" s="16" t="n"/>
      <c r="C757" s="16" t="n"/>
      <c r="D757" s="16" t="n"/>
      <c r="E757" s="34" t="n"/>
      <c r="F757" s="18" t="n"/>
      <c r="G757" s="35">
        <f>IF($E757="","",$E757*$F757/100)</f>
        <v/>
      </c>
      <c r="H757" s="18" t="n"/>
      <c r="I757" s="35">
        <f>IF($E757="","",$E757*$H757/100)</f>
        <v/>
      </c>
      <c r="J757" s="35">
        <f>IF($E757="","",$E757+$G757-$I757)</f>
        <v/>
      </c>
      <c r="K757" s="16" t="n"/>
      <c r="L757" s="20">
        <f>IF($A757="","",ROUNDUP(MONTH($A757)/3,0))</f>
        <v/>
      </c>
    </row>
    <row r="758">
      <c r="A758" s="33" t="n"/>
      <c r="B758" s="16" t="n"/>
      <c r="C758" s="16" t="n"/>
      <c r="D758" s="16" t="n"/>
      <c r="E758" s="34" t="n"/>
      <c r="F758" s="18" t="n"/>
      <c r="G758" s="35">
        <f>IF($E758="","",$E758*$F758/100)</f>
        <v/>
      </c>
      <c r="H758" s="18" t="n"/>
      <c r="I758" s="35">
        <f>IF($E758="","",$E758*$H758/100)</f>
        <v/>
      </c>
      <c r="J758" s="35">
        <f>IF($E758="","",$E758+$G758-$I758)</f>
        <v/>
      </c>
      <c r="K758" s="16" t="n"/>
      <c r="L758" s="20">
        <f>IF($A758="","",ROUNDUP(MONTH($A758)/3,0))</f>
        <v/>
      </c>
    </row>
    <row r="759">
      <c r="A759" s="33" t="n"/>
      <c r="B759" s="16" t="n"/>
      <c r="C759" s="16" t="n"/>
      <c r="D759" s="16" t="n"/>
      <c r="E759" s="34" t="n"/>
      <c r="F759" s="18" t="n"/>
      <c r="G759" s="35">
        <f>IF($E759="","",$E759*$F759/100)</f>
        <v/>
      </c>
      <c r="H759" s="18" t="n"/>
      <c r="I759" s="35">
        <f>IF($E759="","",$E759*$H759/100)</f>
        <v/>
      </c>
      <c r="J759" s="35">
        <f>IF($E759="","",$E759+$G759-$I759)</f>
        <v/>
      </c>
      <c r="K759" s="16" t="n"/>
      <c r="L759" s="20">
        <f>IF($A759="","",ROUNDUP(MONTH($A759)/3,0))</f>
        <v/>
      </c>
    </row>
    <row r="760">
      <c r="A760" s="33" t="n"/>
      <c r="B760" s="16" t="n"/>
      <c r="C760" s="16" t="n"/>
      <c r="D760" s="16" t="n"/>
      <c r="E760" s="34" t="n"/>
      <c r="F760" s="18" t="n"/>
      <c r="G760" s="35">
        <f>IF($E760="","",$E760*$F760/100)</f>
        <v/>
      </c>
      <c r="H760" s="18" t="n"/>
      <c r="I760" s="35">
        <f>IF($E760="","",$E760*$H760/100)</f>
        <v/>
      </c>
      <c r="J760" s="35">
        <f>IF($E760="","",$E760+$G760-$I760)</f>
        <v/>
      </c>
      <c r="K760" s="16" t="n"/>
      <c r="L760" s="20">
        <f>IF($A760="","",ROUNDUP(MONTH($A760)/3,0))</f>
        <v/>
      </c>
    </row>
    <row r="761">
      <c r="A761" s="33" t="n"/>
      <c r="B761" s="16" t="n"/>
      <c r="C761" s="16" t="n"/>
      <c r="D761" s="16" t="n"/>
      <c r="E761" s="34" t="n"/>
      <c r="F761" s="18" t="n"/>
      <c r="G761" s="35">
        <f>IF($E761="","",$E761*$F761/100)</f>
        <v/>
      </c>
      <c r="H761" s="18" t="n"/>
      <c r="I761" s="35">
        <f>IF($E761="","",$E761*$H761/100)</f>
        <v/>
      </c>
      <c r="J761" s="35">
        <f>IF($E761="","",$E761+$G761-$I761)</f>
        <v/>
      </c>
      <c r="K761" s="16" t="n"/>
      <c r="L761" s="20">
        <f>IF($A761="","",ROUNDUP(MONTH($A761)/3,0))</f>
        <v/>
      </c>
    </row>
    <row r="762">
      <c r="A762" s="33" t="n"/>
      <c r="B762" s="16" t="n"/>
      <c r="C762" s="16" t="n"/>
      <c r="D762" s="16" t="n"/>
      <c r="E762" s="34" t="n"/>
      <c r="F762" s="18" t="n"/>
      <c r="G762" s="35">
        <f>IF($E762="","",$E762*$F762/100)</f>
        <v/>
      </c>
      <c r="H762" s="18" t="n"/>
      <c r="I762" s="35">
        <f>IF($E762="","",$E762*$H762/100)</f>
        <v/>
      </c>
      <c r="J762" s="35">
        <f>IF($E762="","",$E762+$G762-$I762)</f>
        <v/>
      </c>
      <c r="K762" s="16" t="n"/>
      <c r="L762" s="20">
        <f>IF($A762="","",ROUNDUP(MONTH($A762)/3,0))</f>
        <v/>
      </c>
    </row>
    <row r="763">
      <c r="A763" s="33" t="n"/>
      <c r="B763" s="16" t="n"/>
      <c r="C763" s="16" t="n"/>
      <c r="D763" s="16" t="n"/>
      <c r="E763" s="34" t="n"/>
      <c r="F763" s="18" t="n"/>
      <c r="G763" s="35">
        <f>IF($E763="","",$E763*$F763/100)</f>
        <v/>
      </c>
      <c r="H763" s="18" t="n"/>
      <c r="I763" s="35">
        <f>IF($E763="","",$E763*$H763/100)</f>
        <v/>
      </c>
      <c r="J763" s="35">
        <f>IF($E763="","",$E763+$G763-$I763)</f>
        <v/>
      </c>
      <c r="K763" s="16" t="n"/>
      <c r="L763" s="20">
        <f>IF($A763="","",ROUNDUP(MONTH($A763)/3,0))</f>
        <v/>
      </c>
    </row>
    <row r="764">
      <c r="A764" s="33" t="n"/>
      <c r="B764" s="16" t="n"/>
      <c r="C764" s="16" t="n"/>
      <c r="D764" s="16" t="n"/>
      <c r="E764" s="34" t="n"/>
      <c r="F764" s="18" t="n"/>
      <c r="G764" s="35">
        <f>IF($E764="","",$E764*$F764/100)</f>
        <v/>
      </c>
      <c r="H764" s="18" t="n"/>
      <c r="I764" s="35">
        <f>IF($E764="","",$E764*$H764/100)</f>
        <v/>
      </c>
      <c r="J764" s="35">
        <f>IF($E764="","",$E764+$G764-$I764)</f>
        <v/>
      </c>
      <c r="K764" s="16" t="n"/>
      <c r="L764" s="20">
        <f>IF($A764="","",ROUNDUP(MONTH($A764)/3,0))</f>
        <v/>
      </c>
    </row>
    <row r="765">
      <c r="A765" s="33" t="n"/>
      <c r="B765" s="16" t="n"/>
      <c r="C765" s="16" t="n"/>
      <c r="D765" s="16" t="n"/>
      <c r="E765" s="34" t="n"/>
      <c r="F765" s="18" t="n"/>
      <c r="G765" s="35">
        <f>IF($E765="","",$E765*$F765/100)</f>
        <v/>
      </c>
      <c r="H765" s="18" t="n"/>
      <c r="I765" s="35">
        <f>IF($E765="","",$E765*$H765/100)</f>
        <v/>
      </c>
      <c r="J765" s="35">
        <f>IF($E765="","",$E765+$G765-$I765)</f>
        <v/>
      </c>
      <c r="K765" s="16" t="n"/>
      <c r="L765" s="20">
        <f>IF($A765="","",ROUNDUP(MONTH($A765)/3,0))</f>
        <v/>
      </c>
    </row>
    <row r="766">
      <c r="A766" s="33" t="n"/>
      <c r="B766" s="16" t="n"/>
      <c r="C766" s="16" t="n"/>
      <c r="D766" s="16" t="n"/>
      <c r="E766" s="34" t="n"/>
      <c r="F766" s="18" t="n"/>
      <c r="G766" s="35">
        <f>IF($E766="","",$E766*$F766/100)</f>
        <v/>
      </c>
      <c r="H766" s="18" t="n"/>
      <c r="I766" s="35">
        <f>IF($E766="","",$E766*$H766/100)</f>
        <v/>
      </c>
      <c r="J766" s="35">
        <f>IF($E766="","",$E766+$G766-$I766)</f>
        <v/>
      </c>
      <c r="K766" s="16" t="n"/>
      <c r="L766" s="20">
        <f>IF($A766="","",ROUNDUP(MONTH($A766)/3,0))</f>
        <v/>
      </c>
    </row>
    <row r="767">
      <c r="A767" s="33" t="n"/>
      <c r="B767" s="16" t="n"/>
      <c r="C767" s="16" t="n"/>
      <c r="D767" s="16" t="n"/>
      <c r="E767" s="34" t="n"/>
      <c r="F767" s="18" t="n"/>
      <c r="G767" s="35">
        <f>IF($E767="","",$E767*$F767/100)</f>
        <v/>
      </c>
      <c r="H767" s="18" t="n"/>
      <c r="I767" s="35">
        <f>IF($E767="","",$E767*$H767/100)</f>
        <v/>
      </c>
      <c r="J767" s="35">
        <f>IF($E767="","",$E767+$G767-$I767)</f>
        <v/>
      </c>
      <c r="K767" s="16" t="n"/>
      <c r="L767" s="20">
        <f>IF($A767="","",ROUNDUP(MONTH($A767)/3,0))</f>
        <v/>
      </c>
    </row>
    <row r="768">
      <c r="A768" s="33" t="n"/>
      <c r="B768" s="16" t="n"/>
      <c r="C768" s="16" t="n"/>
      <c r="D768" s="16" t="n"/>
      <c r="E768" s="34" t="n"/>
      <c r="F768" s="18" t="n"/>
      <c r="G768" s="35">
        <f>IF($E768="","",$E768*$F768/100)</f>
        <v/>
      </c>
      <c r="H768" s="18" t="n"/>
      <c r="I768" s="35">
        <f>IF($E768="","",$E768*$H768/100)</f>
        <v/>
      </c>
      <c r="J768" s="35">
        <f>IF($E768="","",$E768+$G768-$I768)</f>
        <v/>
      </c>
      <c r="K768" s="16" t="n"/>
      <c r="L768" s="20">
        <f>IF($A768="","",ROUNDUP(MONTH($A768)/3,0))</f>
        <v/>
      </c>
    </row>
    <row r="769">
      <c r="A769" s="33" t="n"/>
      <c r="B769" s="16" t="n"/>
      <c r="C769" s="16" t="n"/>
      <c r="D769" s="16" t="n"/>
      <c r="E769" s="34" t="n"/>
      <c r="F769" s="18" t="n"/>
      <c r="G769" s="35">
        <f>IF($E769="","",$E769*$F769/100)</f>
        <v/>
      </c>
      <c r="H769" s="18" t="n"/>
      <c r="I769" s="35">
        <f>IF($E769="","",$E769*$H769/100)</f>
        <v/>
      </c>
      <c r="J769" s="35">
        <f>IF($E769="","",$E769+$G769-$I769)</f>
        <v/>
      </c>
      <c r="K769" s="16" t="n"/>
      <c r="L769" s="20">
        <f>IF($A769="","",ROUNDUP(MONTH($A769)/3,0))</f>
        <v/>
      </c>
    </row>
    <row r="770">
      <c r="A770" s="33" t="n"/>
      <c r="B770" s="16" t="n"/>
      <c r="C770" s="16" t="n"/>
      <c r="D770" s="16" t="n"/>
      <c r="E770" s="34" t="n"/>
      <c r="F770" s="18" t="n"/>
      <c r="G770" s="35">
        <f>IF($E770="","",$E770*$F770/100)</f>
        <v/>
      </c>
      <c r="H770" s="18" t="n"/>
      <c r="I770" s="35">
        <f>IF($E770="","",$E770*$H770/100)</f>
        <v/>
      </c>
      <c r="J770" s="35">
        <f>IF($E770="","",$E770+$G770-$I770)</f>
        <v/>
      </c>
      <c r="K770" s="16" t="n"/>
      <c r="L770" s="20">
        <f>IF($A770="","",ROUNDUP(MONTH($A770)/3,0))</f>
        <v/>
      </c>
    </row>
    <row r="771">
      <c r="A771" s="33" t="n"/>
      <c r="B771" s="16" t="n"/>
      <c r="C771" s="16" t="n"/>
      <c r="D771" s="16" t="n"/>
      <c r="E771" s="34" t="n"/>
      <c r="F771" s="18" t="n"/>
      <c r="G771" s="35">
        <f>IF($E771="","",$E771*$F771/100)</f>
        <v/>
      </c>
      <c r="H771" s="18" t="n"/>
      <c r="I771" s="35">
        <f>IF($E771="","",$E771*$H771/100)</f>
        <v/>
      </c>
      <c r="J771" s="35">
        <f>IF($E771="","",$E771+$G771-$I771)</f>
        <v/>
      </c>
      <c r="K771" s="16" t="n"/>
      <c r="L771" s="20">
        <f>IF($A771="","",ROUNDUP(MONTH($A771)/3,0))</f>
        <v/>
      </c>
    </row>
    <row r="772">
      <c r="A772" s="33" t="n"/>
      <c r="B772" s="16" t="n"/>
      <c r="C772" s="16" t="n"/>
      <c r="D772" s="16" t="n"/>
      <c r="E772" s="34" t="n"/>
      <c r="F772" s="18" t="n"/>
      <c r="G772" s="35">
        <f>IF($E772="","",$E772*$F772/100)</f>
        <v/>
      </c>
      <c r="H772" s="18" t="n"/>
      <c r="I772" s="35">
        <f>IF($E772="","",$E772*$H772/100)</f>
        <v/>
      </c>
      <c r="J772" s="35">
        <f>IF($E772="","",$E772+$G772-$I772)</f>
        <v/>
      </c>
      <c r="K772" s="16" t="n"/>
      <c r="L772" s="20">
        <f>IF($A772="","",ROUNDUP(MONTH($A772)/3,0))</f>
        <v/>
      </c>
    </row>
    <row r="773">
      <c r="A773" s="33" t="n"/>
      <c r="B773" s="16" t="n"/>
      <c r="C773" s="16" t="n"/>
      <c r="D773" s="16" t="n"/>
      <c r="E773" s="34" t="n"/>
      <c r="F773" s="18" t="n"/>
      <c r="G773" s="35">
        <f>IF($E773="","",$E773*$F773/100)</f>
        <v/>
      </c>
      <c r="H773" s="18" t="n"/>
      <c r="I773" s="35">
        <f>IF($E773="","",$E773*$H773/100)</f>
        <v/>
      </c>
      <c r="J773" s="35">
        <f>IF($E773="","",$E773+$G773-$I773)</f>
        <v/>
      </c>
      <c r="K773" s="16" t="n"/>
      <c r="L773" s="20">
        <f>IF($A773="","",ROUNDUP(MONTH($A773)/3,0))</f>
        <v/>
      </c>
    </row>
    <row r="774">
      <c r="A774" s="33" t="n"/>
      <c r="B774" s="16" t="n"/>
      <c r="C774" s="16" t="n"/>
      <c r="D774" s="16" t="n"/>
      <c r="E774" s="34" t="n"/>
      <c r="F774" s="18" t="n"/>
      <c r="G774" s="35">
        <f>IF($E774="","",$E774*$F774/100)</f>
        <v/>
      </c>
      <c r="H774" s="18" t="n"/>
      <c r="I774" s="35">
        <f>IF($E774="","",$E774*$H774/100)</f>
        <v/>
      </c>
      <c r="J774" s="35">
        <f>IF($E774="","",$E774+$G774-$I774)</f>
        <v/>
      </c>
      <c r="K774" s="16" t="n"/>
      <c r="L774" s="20">
        <f>IF($A774="","",ROUNDUP(MONTH($A774)/3,0))</f>
        <v/>
      </c>
    </row>
    <row r="775">
      <c r="A775" s="33" t="n"/>
      <c r="B775" s="16" t="n"/>
      <c r="C775" s="16" t="n"/>
      <c r="D775" s="16" t="n"/>
      <c r="E775" s="34" t="n"/>
      <c r="F775" s="18" t="n"/>
      <c r="G775" s="35">
        <f>IF($E775="","",$E775*$F775/100)</f>
        <v/>
      </c>
      <c r="H775" s="18" t="n"/>
      <c r="I775" s="35">
        <f>IF($E775="","",$E775*$H775/100)</f>
        <v/>
      </c>
      <c r="J775" s="35">
        <f>IF($E775="","",$E775+$G775-$I775)</f>
        <v/>
      </c>
      <c r="K775" s="16" t="n"/>
      <c r="L775" s="20">
        <f>IF($A775="","",ROUNDUP(MONTH($A775)/3,0))</f>
        <v/>
      </c>
    </row>
    <row r="776">
      <c r="A776" s="33" t="n"/>
      <c r="B776" s="16" t="n"/>
      <c r="C776" s="16" t="n"/>
      <c r="D776" s="16" t="n"/>
      <c r="E776" s="34" t="n"/>
      <c r="F776" s="18" t="n"/>
      <c r="G776" s="35">
        <f>IF($E776="","",$E776*$F776/100)</f>
        <v/>
      </c>
      <c r="H776" s="18" t="n"/>
      <c r="I776" s="35">
        <f>IF($E776="","",$E776*$H776/100)</f>
        <v/>
      </c>
      <c r="J776" s="35">
        <f>IF($E776="","",$E776+$G776-$I776)</f>
        <v/>
      </c>
      <c r="K776" s="16" t="n"/>
      <c r="L776" s="20">
        <f>IF($A776="","",ROUNDUP(MONTH($A776)/3,0))</f>
        <v/>
      </c>
    </row>
    <row r="777">
      <c r="A777" s="33" t="n"/>
      <c r="B777" s="16" t="n"/>
      <c r="C777" s="16" t="n"/>
      <c r="D777" s="16" t="n"/>
      <c r="E777" s="34" t="n"/>
      <c r="F777" s="18" t="n"/>
      <c r="G777" s="35">
        <f>IF($E777="","",$E777*$F777/100)</f>
        <v/>
      </c>
      <c r="H777" s="18" t="n"/>
      <c r="I777" s="35">
        <f>IF($E777="","",$E777*$H777/100)</f>
        <v/>
      </c>
      <c r="J777" s="35">
        <f>IF($E777="","",$E777+$G777-$I777)</f>
        <v/>
      </c>
      <c r="K777" s="16" t="n"/>
      <c r="L777" s="20">
        <f>IF($A777="","",ROUNDUP(MONTH($A777)/3,0))</f>
        <v/>
      </c>
    </row>
    <row r="778">
      <c r="A778" s="33" t="n"/>
      <c r="B778" s="16" t="n"/>
      <c r="C778" s="16" t="n"/>
      <c r="D778" s="16" t="n"/>
      <c r="E778" s="34" t="n"/>
      <c r="F778" s="18" t="n"/>
      <c r="G778" s="35">
        <f>IF($E778="","",$E778*$F778/100)</f>
        <v/>
      </c>
      <c r="H778" s="18" t="n"/>
      <c r="I778" s="35">
        <f>IF($E778="","",$E778*$H778/100)</f>
        <v/>
      </c>
      <c r="J778" s="35">
        <f>IF($E778="","",$E778+$G778-$I778)</f>
        <v/>
      </c>
      <c r="K778" s="16" t="n"/>
      <c r="L778" s="20">
        <f>IF($A778="","",ROUNDUP(MONTH($A778)/3,0))</f>
        <v/>
      </c>
    </row>
    <row r="779">
      <c r="A779" s="33" t="n"/>
      <c r="B779" s="16" t="n"/>
      <c r="C779" s="16" t="n"/>
      <c r="D779" s="16" t="n"/>
      <c r="E779" s="34" t="n"/>
      <c r="F779" s="18" t="n"/>
      <c r="G779" s="35">
        <f>IF($E779="","",$E779*$F779/100)</f>
        <v/>
      </c>
      <c r="H779" s="18" t="n"/>
      <c r="I779" s="35">
        <f>IF($E779="","",$E779*$H779/100)</f>
        <v/>
      </c>
      <c r="J779" s="35">
        <f>IF($E779="","",$E779+$G779-$I779)</f>
        <v/>
      </c>
      <c r="K779" s="16" t="n"/>
      <c r="L779" s="20">
        <f>IF($A779="","",ROUNDUP(MONTH($A779)/3,0))</f>
        <v/>
      </c>
    </row>
    <row r="780">
      <c r="A780" s="33" t="n"/>
      <c r="B780" s="16" t="n"/>
      <c r="C780" s="16" t="n"/>
      <c r="D780" s="16" t="n"/>
      <c r="E780" s="34" t="n"/>
      <c r="F780" s="18" t="n"/>
      <c r="G780" s="35">
        <f>IF($E780="","",$E780*$F780/100)</f>
        <v/>
      </c>
      <c r="H780" s="18" t="n"/>
      <c r="I780" s="35">
        <f>IF($E780="","",$E780*$H780/100)</f>
        <v/>
      </c>
      <c r="J780" s="35">
        <f>IF($E780="","",$E780+$G780-$I780)</f>
        <v/>
      </c>
      <c r="K780" s="16" t="n"/>
      <c r="L780" s="20">
        <f>IF($A780="","",ROUNDUP(MONTH($A780)/3,0))</f>
        <v/>
      </c>
    </row>
    <row r="781">
      <c r="A781" s="33" t="n"/>
      <c r="B781" s="16" t="n"/>
      <c r="C781" s="16" t="n"/>
      <c r="D781" s="16" t="n"/>
      <c r="E781" s="34" t="n"/>
      <c r="F781" s="18" t="n"/>
      <c r="G781" s="35">
        <f>IF($E781="","",$E781*$F781/100)</f>
        <v/>
      </c>
      <c r="H781" s="18" t="n"/>
      <c r="I781" s="35">
        <f>IF($E781="","",$E781*$H781/100)</f>
        <v/>
      </c>
      <c r="J781" s="35">
        <f>IF($E781="","",$E781+$G781-$I781)</f>
        <v/>
      </c>
      <c r="K781" s="16" t="n"/>
      <c r="L781" s="20">
        <f>IF($A781="","",ROUNDUP(MONTH($A781)/3,0))</f>
        <v/>
      </c>
    </row>
    <row r="782">
      <c r="A782" s="33" t="n"/>
      <c r="B782" s="16" t="n"/>
      <c r="C782" s="16" t="n"/>
      <c r="D782" s="16" t="n"/>
      <c r="E782" s="34" t="n"/>
      <c r="F782" s="18" t="n"/>
      <c r="G782" s="35">
        <f>IF($E782="","",$E782*$F782/100)</f>
        <v/>
      </c>
      <c r="H782" s="18" t="n"/>
      <c r="I782" s="35">
        <f>IF($E782="","",$E782*$H782/100)</f>
        <v/>
      </c>
      <c r="J782" s="35">
        <f>IF($E782="","",$E782+$G782-$I782)</f>
        <v/>
      </c>
      <c r="K782" s="16" t="n"/>
      <c r="L782" s="20">
        <f>IF($A782="","",ROUNDUP(MONTH($A782)/3,0))</f>
        <v/>
      </c>
    </row>
    <row r="783">
      <c r="A783" s="33" t="n"/>
      <c r="B783" s="16" t="n"/>
      <c r="C783" s="16" t="n"/>
      <c r="D783" s="16" t="n"/>
      <c r="E783" s="34" t="n"/>
      <c r="F783" s="18" t="n"/>
      <c r="G783" s="35">
        <f>IF($E783="","",$E783*$F783/100)</f>
        <v/>
      </c>
      <c r="H783" s="18" t="n"/>
      <c r="I783" s="35">
        <f>IF($E783="","",$E783*$H783/100)</f>
        <v/>
      </c>
      <c r="J783" s="35">
        <f>IF($E783="","",$E783+$G783-$I783)</f>
        <v/>
      </c>
      <c r="K783" s="16" t="n"/>
      <c r="L783" s="20">
        <f>IF($A783="","",ROUNDUP(MONTH($A783)/3,0))</f>
        <v/>
      </c>
    </row>
    <row r="784">
      <c r="A784" s="33" t="n"/>
      <c r="B784" s="16" t="n"/>
      <c r="C784" s="16" t="n"/>
      <c r="D784" s="16" t="n"/>
      <c r="E784" s="34" t="n"/>
      <c r="F784" s="18" t="n"/>
      <c r="G784" s="35">
        <f>IF($E784="","",$E784*$F784/100)</f>
        <v/>
      </c>
      <c r="H784" s="18" t="n"/>
      <c r="I784" s="35">
        <f>IF($E784="","",$E784*$H784/100)</f>
        <v/>
      </c>
      <c r="J784" s="35">
        <f>IF($E784="","",$E784+$G784-$I784)</f>
        <v/>
      </c>
      <c r="K784" s="16" t="n"/>
      <c r="L784" s="20">
        <f>IF($A784="","",ROUNDUP(MONTH($A784)/3,0))</f>
        <v/>
      </c>
    </row>
    <row r="785">
      <c r="A785" s="33" t="n"/>
      <c r="B785" s="16" t="n"/>
      <c r="C785" s="16" t="n"/>
      <c r="D785" s="16" t="n"/>
      <c r="E785" s="34" t="n"/>
      <c r="F785" s="18" t="n"/>
      <c r="G785" s="35">
        <f>IF($E785="","",$E785*$F785/100)</f>
        <v/>
      </c>
      <c r="H785" s="18" t="n"/>
      <c r="I785" s="35">
        <f>IF($E785="","",$E785*$H785/100)</f>
        <v/>
      </c>
      <c r="J785" s="35">
        <f>IF($E785="","",$E785+$G785-$I785)</f>
        <v/>
      </c>
      <c r="K785" s="16" t="n"/>
      <c r="L785" s="20">
        <f>IF($A785="","",ROUNDUP(MONTH($A785)/3,0))</f>
        <v/>
      </c>
    </row>
    <row r="786">
      <c r="A786" s="33" t="n"/>
      <c r="B786" s="16" t="n"/>
      <c r="C786" s="16" t="n"/>
      <c r="D786" s="16" t="n"/>
      <c r="E786" s="34" t="n"/>
      <c r="F786" s="18" t="n"/>
      <c r="G786" s="35">
        <f>IF($E786="","",$E786*$F786/100)</f>
        <v/>
      </c>
      <c r="H786" s="18" t="n"/>
      <c r="I786" s="35">
        <f>IF($E786="","",$E786*$H786/100)</f>
        <v/>
      </c>
      <c r="J786" s="35">
        <f>IF($E786="","",$E786+$G786-$I786)</f>
        <v/>
      </c>
      <c r="K786" s="16" t="n"/>
      <c r="L786" s="20">
        <f>IF($A786="","",ROUNDUP(MONTH($A786)/3,0))</f>
        <v/>
      </c>
    </row>
    <row r="787">
      <c r="A787" s="33" t="n"/>
      <c r="B787" s="16" t="n"/>
      <c r="C787" s="16" t="n"/>
      <c r="D787" s="16" t="n"/>
      <c r="E787" s="34" t="n"/>
      <c r="F787" s="18" t="n"/>
      <c r="G787" s="35">
        <f>IF($E787="","",$E787*$F787/100)</f>
        <v/>
      </c>
      <c r="H787" s="18" t="n"/>
      <c r="I787" s="35">
        <f>IF($E787="","",$E787*$H787/100)</f>
        <v/>
      </c>
      <c r="J787" s="35">
        <f>IF($E787="","",$E787+$G787-$I787)</f>
        <v/>
      </c>
      <c r="K787" s="16" t="n"/>
      <c r="L787" s="20">
        <f>IF($A787="","",ROUNDUP(MONTH($A787)/3,0))</f>
        <v/>
      </c>
    </row>
    <row r="788">
      <c r="A788" s="33" t="n"/>
      <c r="B788" s="16" t="n"/>
      <c r="C788" s="16" t="n"/>
      <c r="D788" s="16" t="n"/>
      <c r="E788" s="34" t="n"/>
      <c r="F788" s="18" t="n"/>
      <c r="G788" s="35">
        <f>IF($E788="","",$E788*$F788/100)</f>
        <v/>
      </c>
      <c r="H788" s="18" t="n"/>
      <c r="I788" s="35">
        <f>IF($E788="","",$E788*$H788/100)</f>
        <v/>
      </c>
      <c r="J788" s="35">
        <f>IF($E788="","",$E788+$G788-$I788)</f>
        <v/>
      </c>
      <c r="K788" s="16" t="n"/>
      <c r="L788" s="20">
        <f>IF($A788="","",ROUNDUP(MONTH($A788)/3,0))</f>
        <v/>
      </c>
    </row>
    <row r="789">
      <c r="A789" s="33" t="n"/>
      <c r="B789" s="16" t="n"/>
      <c r="C789" s="16" t="n"/>
      <c r="D789" s="16" t="n"/>
      <c r="E789" s="34" t="n"/>
      <c r="F789" s="18" t="n"/>
      <c r="G789" s="35">
        <f>IF($E789="","",$E789*$F789/100)</f>
        <v/>
      </c>
      <c r="H789" s="18" t="n"/>
      <c r="I789" s="35">
        <f>IF($E789="","",$E789*$H789/100)</f>
        <v/>
      </c>
      <c r="J789" s="35">
        <f>IF($E789="","",$E789+$G789-$I789)</f>
        <v/>
      </c>
      <c r="K789" s="16" t="n"/>
      <c r="L789" s="20">
        <f>IF($A789="","",ROUNDUP(MONTH($A789)/3,0))</f>
        <v/>
      </c>
    </row>
    <row r="790">
      <c r="A790" s="33" t="n"/>
      <c r="B790" s="16" t="n"/>
      <c r="C790" s="16" t="n"/>
      <c r="D790" s="16" t="n"/>
      <c r="E790" s="34" t="n"/>
      <c r="F790" s="18" t="n"/>
      <c r="G790" s="35">
        <f>IF($E790="","",$E790*$F790/100)</f>
        <v/>
      </c>
      <c r="H790" s="18" t="n"/>
      <c r="I790" s="35">
        <f>IF($E790="","",$E790*$H790/100)</f>
        <v/>
      </c>
      <c r="J790" s="35">
        <f>IF($E790="","",$E790+$G790-$I790)</f>
        <v/>
      </c>
      <c r="K790" s="16" t="n"/>
      <c r="L790" s="20">
        <f>IF($A790="","",ROUNDUP(MONTH($A790)/3,0))</f>
        <v/>
      </c>
    </row>
    <row r="791">
      <c r="A791" s="33" t="n"/>
      <c r="B791" s="16" t="n"/>
      <c r="C791" s="16" t="n"/>
      <c r="D791" s="16" t="n"/>
      <c r="E791" s="34" t="n"/>
      <c r="F791" s="18" t="n"/>
      <c r="G791" s="35">
        <f>IF($E791="","",$E791*$F791/100)</f>
        <v/>
      </c>
      <c r="H791" s="18" t="n"/>
      <c r="I791" s="35">
        <f>IF($E791="","",$E791*$H791/100)</f>
        <v/>
      </c>
      <c r="J791" s="35">
        <f>IF($E791="","",$E791+$G791-$I791)</f>
        <v/>
      </c>
      <c r="K791" s="16" t="n"/>
      <c r="L791" s="20">
        <f>IF($A791="","",ROUNDUP(MONTH($A791)/3,0))</f>
        <v/>
      </c>
    </row>
    <row r="792">
      <c r="A792" s="33" t="n"/>
      <c r="B792" s="16" t="n"/>
      <c r="C792" s="16" t="n"/>
      <c r="D792" s="16" t="n"/>
      <c r="E792" s="34" t="n"/>
      <c r="F792" s="18" t="n"/>
      <c r="G792" s="35">
        <f>IF($E792="","",$E792*$F792/100)</f>
        <v/>
      </c>
      <c r="H792" s="18" t="n"/>
      <c r="I792" s="35">
        <f>IF($E792="","",$E792*$H792/100)</f>
        <v/>
      </c>
      <c r="J792" s="35">
        <f>IF($E792="","",$E792+$G792-$I792)</f>
        <v/>
      </c>
      <c r="K792" s="16" t="n"/>
      <c r="L792" s="20">
        <f>IF($A792="","",ROUNDUP(MONTH($A792)/3,0))</f>
        <v/>
      </c>
    </row>
    <row r="793">
      <c r="A793" s="33" t="n"/>
      <c r="B793" s="16" t="n"/>
      <c r="C793" s="16" t="n"/>
      <c r="D793" s="16" t="n"/>
      <c r="E793" s="34" t="n"/>
      <c r="F793" s="18" t="n"/>
      <c r="G793" s="35">
        <f>IF($E793="","",$E793*$F793/100)</f>
        <v/>
      </c>
      <c r="H793" s="18" t="n"/>
      <c r="I793" s="35">
        <f>IF($E793="","",$E793*$H793/100)</f>
        <v/>
      </c>
      <c r="J793" s="35">
        <f>IF($E793="","",$E793+$G793-$I793)</f>
        <v/>
      </c>
      <c r="K793" s="16" t="n"/>
      <c r="L793" s="20">
        <f>IF($A793="","",ROUNDUP(MONTH($A793)/3,0))</f>
        <v/>
      </c>
    </row>
    <row r="794">
      <c r="A794" s="33" t="n"/>
      <c r="B794" s="16" t="n"/>
      <c r="C794" s="16" t="n"/>
      <c r="D794" s="16" t="n"/>
      <c r="E794" s="34" t="n"/>
      <c r="F794" s="18" t="n"/>
      <c r="G794" s="35">
        <f>IF($E794="","",$E794*$F794/100)</f>
        <v/>
      </c>
      <c r="H794" s="18" t="n"/>
      <c r="I794" s="35">
        <f>IF($E794="","",$E794*$H794/100)</f>
        <v/>
      </c>
      <c r="J794" s="35">
        <f>IF($E794="","",$E794+$G794-$I794)</f>
        <v/>
      </c>
      <c r="K794" s="16" t="n"/>
      <c r="L794" s="20">
        <f>IF($A794="","",ROUNDUP(MONTH($A794)/3,0))</f>
        <v/>
      </c>
    </row>
    <row r="795">
      <c r="A795" s="33" t="n"/>
      <c r="B795" s="16" t="n"/>
      <c r="C795" s="16" t="n"/>
      <c r="D795" s="16" t="n"/>
      <c r="E795" s="34" t="n"/>
      <c r="F795" s="18" t="n"/>
      <c r="G795" s="35">
        <f>IF($E795="","",$E795*$F795/100)</f>
        <v/>
      </c>
      <c r="H795" s="18" t="n"/>
      <c r="I795" s="35">
        <f>IF($E795="","",$E795*$H795/100)</f>
        <v/>
      </c>
      <c r="J795" s="35">
        <f>IF($E795="","",$E795+$G795-$I795)</f>
        <v/>
      </c>
      <c r="K795" s="16" t="n"/>
      <c r="L795" s="20">
        <f>IF($A795="","",ROUNDUP(MONTH($A795)/3,0))</f>
        <v/>
      </c>
    </row>
    <row r="796">
      <c r="A796" s="33" t="n"/>
      <c r="B796" s="16" t="n"/>
      <c r="C796" s="16" t="n"/>
      <c r="D796" s="16" t="n"/>
      <c r="E796" s="34" t="n"/>
      <c r="F796" s="18" t="n"/>
      <c r="G796" s="35">
        <f>IF($E796="","",$E796*$F796/100)</f>
        <v/>
      </c>
      <c r="H796" s="18" t="n"/>
      <c r="I796" s="35">
        <f>IF($E796="","",$E796*$H796/100)</f>
        <v/>
      </c>
      <c r="J796" s="35">
        <f>IF($E796="","",$E796+$G796-$I796)</f>
        <v/>
      </c>
      <c r="K796" s="16" t="n"/>
      <c r="L796" s="20">
        <f>IF($A796="","",ROUNDUP(MONTH($A796)/3,0))</f>
        <v/>
      </c>
    </row>
    <row r="797">
      <c r="A797" s="33" t="n"/>
      <c r="B797" s="16" t="n"/>
      <c r="C797" s="16" t="n"/>
      <c r="D797" s="16" t="n"/>
      <c r="E797" s="34" t="n"/>
      <c r="F797" s="18" t="n"/>
      <c r="G797" s="35">
        <f>IF($E797="","",$E797*$F797/100)</f>
        <v/>
      </c>
      <c r="H797" s="18" t="n"/>
      <c r="I797" s="35">
        <f>IF($E797="","",$E797*$H797/100)</f>
        <v/>
      </c>
      <c r="J797" s="35">
        <f>IF($E797="","",$E797+$G797-$I797)</f>
        <v/>
      </c>
      <c r="K797" s="16" t="n"/>
      <c r="L797" s="20">
        <f>IF($A797="","",ROUNDUP(MONTH($A797)/3,0))</f>
        <v/>
      </c>
    </row>
    <row r="798">
      <c r="A798" s="33" t="n"/>
      <c r="B798" s="16" t="n"/>
      <c r="C798" s="16" t="n"/>
      <c r="D798" s="16" t="n"/>
      <c r="E798" s="34" t="n"/>
      <c r="F798" s="18" t="n"/>
      <c r="G798" s="35">
        <f>IF($E798="","",$E798*$F798/100)</f>
        <v/>
      </c>
      <c r="H798" s="18" t="n"/>
      <c r="I798" s="35">
        <f>IF($E798="","",$E798*$H798/100)</f>
        <v/>
      </c>
      <c r="J798" s="35">
        <f>IF($E798="","",$E798+$G798-$I798)</f>
        <v/>
      </c>
      <c r="K798" s="16" t="n"/>
      <c r="L798" s="20">
        <f>IF($A798="","",ROUNDUP(MONTH($A798)/3,0))</f>
        <v/>
      </c>
    </row>
    <row r="799">
      <c r="A799" s="33" t="n"/>
      <c r="B799" s="16" t="n"/>
      <c r="C799" s="16" t="n"/>
      <c r="D799" s="16" t="n"/>
      <c r="E799" s="34" t="n"/>
      <c r="F799" s="18" t="n"/>
      <c r="G799" s="35">
        <f>IF($E799="","",$E799*$F799/100)</f>
        <v/>
      </c>
      <c r="H799" s="18" t="n"/>
      <c r="I799" s="35">
        <f>IF($E799="","",$E799*$H799/100)</f>
        <v/>
      </c>
      <c r="J799" s="35">
        <f>IF($E799="","",$E799+$G799-$I799)</f>
        <v/>
      </c>
      <c r="K799" s="16" t="n"/>
      <c r="L799" s="20">
        <f>IF($A799="","",ROUNDUP(MONTH($A799)/3,0))</f>
        <v/>
      </c>
    </row>
    <row r="800">
      <c r="A800" s="33" t="n"/>
      <c r="B800" s="16" t="n"/>
      <c r="C800" s="16" t="n"/>
      <c r="D800" s="16" t="n"/>
      <c r="E800" s="34" t="n"/>
      <c r="F800" s="18" t="n"/>
      <c r="G800" s="35">
        <f>IF($E800="","",$E800*$F800/100)</f>
        <v/>
      </c>
      <c r="H800" s="18" t="n"/>
      <c r="I800" s="35">
        <f>IF($E800="","",$E800*$H800/100)</f>
        <v/>
      </c>
      <c r="J800" s="35">
        <f>IF($E800="","",$E800+$G800-$I800)</f>
        <v/>
      </c>
      <c r="K800" s="16" t="n"/>
      <c r="L800" s="20">
        <f>IF($A800="","",ROUNDUP(MONTH($A800)/3,0))</f>
        <v/>
      </c>
    </row>
    <row r="801">
      <c r="A801" s="33" t="n"/>
      <c r="B801" s="16" t="n"/>
      <c r="C801" s="16" t="n"/>
      <c r="D801" s="16" t="n"/>
      <c r="E801" s="34" t="n"/>
      <c r="F801" s="18" t="n"/>
      <c r="G801" s="35">
        <f>IF($E801="","",$E801*$F801/100)</f>
        <v/>
      </c>
      <c r="H801" s="18" t="n"/>
      <c r="I801" s="35">
        <f>IF($E801="","",$E801*$H801/100)</f>
        <v/>
      </c>
      <c r="J801" s="35">
        <f>IF($E801="","",$E801+$G801-$I801)</f>
        <v/>
      </c>
      <c r="K801" s="16" t="n"/>
      <c r="L801" s="20">
        <f>IF($A801="","",ROUNDUP(MONTH($A801)/3,0))</f>
        <v/>
      </c>
    </row>
    <row r="802">
      <c r="A802" s="33" t="n"/>
      <c r="B802" s="16" t="n"/>
      <c r="C802" s="16" t="n"/>
      <c r="D802" s="16" t="n"/>
      <c r="E802" s="34" t="n"/>
      <c r="F802" s="18" t="n"/>
      <c r="G802" s="35">
        <f>IF($E802="","",$E802*$F802/100)</f>
        <v/>
      </c>
      <c r="H802" s="18" t="n"/>
      <c r="I802" s="35">
        <f>IF($E802="","",$E802*$H802/100)</f>
        <v/>
      </c>
      <c r="J802" s="35">
        <f>IF($E802="","",$E802+$G802-$I802)</f>
        <v/>
      </c>
      <c r="K802" s="16" t="n"/>
      <c r="L802" s="20">
        <f>IF($A802="","",ROUNDUP(MONTH($A802)/3,0))</f>
        <v/>
      </c>
    </row>
    <row r="803">
      <c r="A803" s="33" t="n"/>
      <c r="B803" s="16" t="n"/>
      <c r="C803" s="16" t="n"/>
      <c r="D803" s="16" t="n"/>
      <c r="E803" s="34" t="n"/>
      <c r="F803" s="18" t="n"/>
      <c r="G803" s="35">
        <f>IF($E803="","",$E803*$F803/100)</f>
        <v/>
      </c>
      <c r="H803" s="18" t="n"/>
      <c r="I803" s="35">
        <f>IF($E803="","",$E803*$H803/100)</f>
        <v/>
      </c>
      <c r="J803" s="35">
        <f>IF($E803="","",$E803+$G803-$I803)</f>
        <v/>
      </c>
      <c r="K803" s="16" t="n"/>
      <c r="L803" s="20">
        <f>IF($A803="","",ROUNDUP(MONTH($A803)/3,0))</f>
        <v/>
      </c>
    </row>
    <row r="804">
      <c r="A804" s="33" t="n"/>
      <c r="B804" s="16" t="n"/>
      <c r="C804" s="16" t="n"/>
      <c r="D804" s="16" t="n"/>
      <c r="E804" s="34" t="n"/>
      <c r="F804" s="18" t="n"/>
      <c r="G804" s="35">
        <f>IF($E804="","",$E804*$F804/100)</f>
        <v/>
      </c>
      <c r="H804" s="18" t="n"/>
      <c r="I804" s="35">
        <f>IF($E804="","",$E804*$H804/100)</f>
        <v/>
      </c>
      <c r="J804" s="35">
        <f>IF($E804="","",$E804+$G804-$I804)</f>
        <v/>
      </c>
      <c r="K804" s="16" t="n"/>
      <c r="L804" s="20">
        <f>IF($A804="","",ROUNDUP(MONTH($A804)/3,0))</f>
        <v/>
      </c>
    </row>
    <row r="805">
      <c r="A805" s="33" t="n"/>
      <c r="B805" s="16" t="n"/>
      <c r="C805" s="16" t="n"/>
      <c r="D805" s="16" t="n"/>
      <c r="E805" s="34" t="n"/>
      <c r="F805" s="18" t="n"/>
      <c r="G805" s="35">
        <f>IF($E805="","",$E805*$F805/100)</f>
        <v/>
      </c>
      <c r="H805" s="18" t="n"/>
      <c r="I805" s="35">
        <f>IF($E805="","",$E805*$H805/100)</f>
        <v/>
      </c>
      <c r="J805" s="35">
        <f>IF($E805="","",$E805+$G805-$I805)</f>
        <v/>
      </c>
      <c r="K805" s="16" t="n"/>
      <c r="L805" s="20">
        <f>IF($A805="","",ROUNDUP(MONTH($A805)/3,0))</f>
        <v/>
      </c>
    </row>
    <row r="806">
      <c r="A806" s="33" t="n"/>
      <c r="B806" s="16" t="n"/>
      <c r="C806" s="16" t="n"/>
      <c r="D806" s="16" t="n"/>
      <c r="E806" s="34" t="n"/>
      <c r="F806" s="18" t="n"/>
      <c r="G806" s="35">
        <f>IF($E806="","",$E806*$F806/100)</f>
        <v/>
      </c>
      <c r="H806" s="18" t="n"/>
      <c r="I806" s="35">
        <f>IF($E806="","",$E806*$H806/100)</f>
        <v/>
      </c>
      <c r="J806" s="35">
        <f>IF($E806="","",$E806+$G806-$I806)</f>
        <v/>
      </c>
      <c r="K806" s="16" t="n"/>
      <c r="L806" s="20">
        <f>IF($A806="","",ROUNDUP(MONTH($A806)/3,0))</f>
        <v/>
      </c>
    </row>
    <row r="807">
      <c r="A807" s="33" t="n"/>
      <c r="B807" s="16" t="n"/>
      <c r="C807" s="16" t="n"/>
      <c r="D807" s="16" t="n"/>
      <c r="E807" s="34" t="n"/>
      <c r="F807" s="18" t="n"/>
      <c r="G807" s="35">
        <f>IF($E807="","",$E807*$F807/100)</f>
        <v/>
      </c>
      <c r="H807" s="18" t="n"/>
      <c r="I807" s="35">
        <f>IF($E807="","",$E807*$H807/100)</f>
        <v/>
      </c>
      <c r="J807" s="35">
        <f>IF($E807="","",$E807+$G807-$I807)</f>
        <v/>
      </c>
      <c r="K807" s="16" t="n"/>
      <c r="L807" s="20">
        <f>IF($A807="","",ROUNDUP(MONTH($A807)/3,0))</f>
        <v/>
      </c>
    </row>
    <row r="808">
      <c r="A808" s="33" t="n"/>
      <c r="B808" s="16" t="n"/>
      <c r="C808" s="16" t="n"/>
      <c r="D808" s="16" t="n"/>
      <c r="E808" s="34" t="n"/>
      <c r="F808" s="18" t="n"/>
      <c r="G808" s="35">
        <f>IF($E808="","",$E808*$F808/100)</f>
        <v/>
      </c>
      <c r="H808" s="18" t="n"/>
      <c r="I808" s="35">
        <f>IF($E808="","",$E808*$H808/100)</f>
        <v/>
      </c>
      <c r="J808" s="35">
        <f>IF($E808="","",$E808+$G808-$I808)</f>
        <v/>
      </c>
      <c r="K808" s="16" t="n"/>
      <c r="L808" s="20">
        <f>IF($A808="","",ROUNDUP(MONTH($A808)/3,0))</f>
        <v/>
      </c>
    </row>
    <row r="809">
      <c r="A809" s="33" t="n"/>
      <c r="B809" s="16" t="n"/>
      <c r="C809" s="16" t="n"/>
      <c r="D809" s="16" t="n"/>
      <c r="E809" s="34" t="n"/>
      <c r="F809" s="18" t="n"/>
      <c r="G809" s="35">
        <f>IF($E809="","",$E809*$F809/100)</f>
        <v/>
      </c>
      <c r="H809" s="18" t="n"/>
      <c r="I809" s="35">
        <f>IF($E809="","",$E809*$H809/100)</f>
        <v/>
      </c>
      <c r="J809" s="35">
        <f>IF($E809="","",$E809+$G809-$I809)</f>
        <v/>
      </c>
      <c r="K809" s="16" t="n"/>
      <c r="L809" s="20">
        <f>IF($A809="","",ROUNDUP(MONTH($A809)/3,0))</f>
        <v/>
      </c>
    </row>
    <row r="810">
      <c r="A810" s="33" t="n"/>
      <c r="B810" s="16" t="n"/>
      <c r="C810" s="16" t="n"/>
      <c r="D810" s="16" t="n"/>
      <c r="E810" s="34" t="n"/>
      <c r="F810" s="18" t="n"/>
      <c r="G810" s="35">
        <f>IF($E810="","",$E810*$F810/100)</f>
        <v/>
      </c>
      <c r="H810" s="18" t="n"/>
      <c r="I810" s="35">
        <f>IF($E810="","",$E810*$H810/100)</f>
        <v/>
      </c>
      <c r="J810" s="35">
        <f>IF($E810="","",$E810+$G810-$I810)</f>
        <v/>
      </c>
      <c r="K810" s="16" t="n"/>
      <c r="L810" s="20">
        <f>IF($A810="","",ROUNDUP(MONTH($A810)/3,0))</f>
        <v/>
      </c>
    </row>
    <row r="811">
      <c r="A811" s="33" t="n"/>
      <c r="B811" s="16" t="n"/>
      <c r="C811" s="16" t="n"/>
      <c r="D811" s="16" t="n"/>
      <c r="E811" s="34" t="n"/>
      <c r="F811" s="18" t="n"/>
      <c r="G811" s="35">
        <f>IF($E811="","",$E811*$F811/100)</f>
        <v/>
      </c>
      <c r="H811" s="18" t="n"/>
      <c r="I811" s="35">
        <f>IF($E811="","",$E811*$H811/100)</f>
        <v/>
      </c>
      <c r="J811" s="35">
        <f>IF($E811="","",$E811+$G811-$I811)</f>
        <v/>
      </c>
      <c r="K811" s="16" t="n"/>
      <c r="L811" s="20">
        <f>IF($A811="","",ROUNDUP(MONTH($A811)/3,0))</f>
        <v/>
      </c>
    </row>
    <row r="812">
      <c r="A812" s="33" t="n"/>
      <c r="B812" s="16" t="n"/>
      <c r="C812" s="16" t="n"/>
      <c r="D812" s="16" t="n"/>
      <c r="E812" s="34" t="n"/>
      <c r="F812" s="18" t="n"/>
      <c r="G812" s="35">
        <f>IF($E812="","",$E812*$F812/100)</f>
        <v/>
      </c>
      <c r="H812" s="18" t="n"/>
      <c r="I812" s="35">
        <f>IF($E812="","",$E812*$H812/100)</f>
        <v/>
      </c>
      <c r="J812" s="35">
        <f>IF($E812="","",$E812+$G812-$I812)</f>
        <v/>
      </c>
      <c r="K812" s="16" t="n"/>
      <c r="L812" s="20">
        <f>IF($A812="","",ROUNDUP(MONTH($A812)/3,0))</f>
        <v/>
      </c>
    </row>
    <row r="813">
      <c r="A813" s="33" t="n"/>
      <c r="B813" s="16" t="n"/>
      <c r="C813" s="16" t="n"/>
      <c r="D813" s="16" t="n"/>
      <c r="E813" s="34" t="n"/>
      <c r="F813" s="18" t="n"/>
      <c r="G813" s="35">
        <f>IF($E813="","",$E813*$F813/100)</f>
        <v/>
      </c>
      <c r="H813" s="18" t="n"/>
      <c r="I813" s="35">
        <f>IF($E813="","",$E813*$H813/100)</f>
        <v/>
      </c>
      <c r="J813" s="35">
        <f>IF($E813="","",$E813+$G813-$I813)</f>
        <v/>
      </c>
      <c r="K813" s="16" t="n"/>
      <c r="L813" s="20">
        <f>IF($A813="","",ROUNDUP(MONTH($A813)/3,0))</f>
        <v/>
      </c>
    </row>
    <row r="814">
      <c r="A814" s="33" t="n"/>
      <c r="B814" s="16" t="n"/>
      <c r="C814" s="16" t="n"/>
      <c r="D814" s="16" t="n"/>
      <c r="E814" s="34" t="n"/>
      <c r="F814" s="18" t="n"/>
      <c r="G814" s="35">
        <f>IF($E814="","",$E814*$F814/100)</f>
        <v/>
      </c>
      <c r="H814" s="18" t="n"/>
      <c r="I814" s="35">
        <f>IF($E814="","",$E814*$H814/100)</f>
        <v/>
      </c>
      <c r="J814" s="35">
        <f>IF($E814="","",$E814+$G814-$I814)</f>
        <v/>
      </c>
      <c r="K814" s="16" t="n"/>
      <c r="L814" s="20">
        <f>IF($A814="","",ROUNDUP(MONTH($A814)/3,0))</f>
        <v/>
      </c>
    </row>
    <row r="815">
      <c r="A815" s="33" t="n"/>
      <c r="B815" s="16" t="n"/>
      <c r="C815" s="16" t="n"/>
      <c r="D815" s="16" t="n"/>
      <c r="E815" s="34" t="n"/>
      <c r="F815" s="18" t="n"/>
      <c r="G815" s="35">
        <f>IF($E815="","",$E815*$F815/100)</f>
        <v/>
      </c>
      <c r="H815" s="18" t="n"/>
      <c r="I815" s="35">
        <f>IF($E815="","",$E815*$H815/100)</f>
        <v/>
      </c>
      <c r="J815" s="35">
        <f>IF($E815="","",$E815+$G815-$I815)</f>
        <v/>
      </c>
      <c r="K815" s="16" t="n"/>
      <c r="L815" s="20">
        <f>IF($A815="","",ROUNDUP(MONTH($A815)/3,0))</f>
        <v/>
      </c>
    </row>
    <row r="816">
      <c r="A816" s="33" t="n"/>
      <c r="B816" s="16" t="n"/>
      <c r="C816" s="16" t="n"/>
      <c r="D816" s="16" t="n"/>
      <c r="E816" s="34" t="n"/>
      <c r="F816" s="18" t="n"/>
      <c r="G816" s="35">
        <f>IF($E816="","",$E816*$F816/100)</f>
        <v/>
      </c>
      <c r="H816" s="18" t="n"/>
      <c r="I816" s="35">
        <f>IF($E816="","",$E816*$H816/100)</f>
        <v/>
      </c>
      <c r="J816" s="35">
        <f>IF($E816="","",$E816+$G816-$I816)</f>
        <v/>
      </c>
      <c r="K816" s="16" t="n"/>
      <c r="L816" s="20">
        <f>IF($A816="","",ROUNDUP(MONTH($A816)/3,0))</f>
        <v/>
      </c>
    </row>
    <row r="817">
      <c r="A817" s="33" t="n"/>
      <c r="B817" s="16" t="n"/>
      <c r="C817" s="16" t="n"/>
      <c r="D817" s="16" t="n"/>
      <c r="E817" s="34" t="n"/>
      <c r="F817" s="18" t="n"/>
      <c r="G817" s="35">
        <f>IF($E817="","",$E817*$F817/100)</f>
        <v/>
      </c>
      <c r="H817" s="18" t="n"/>
      <c r="I817" s="35">
        <f>IF($E817="","",$E817*$H817/100)</f>
        <v/>
      </c>
      <c r="J817" s="35">
        <f>IF($E817="","",$E817+$G817-$I817)</f>
        <v/>
      </c>
      <c r="K817" s="16" t="n"/>
      <c r="L817" s="20">
        <f>IF($A817="","",ROUNDUP(MONTH($A817)/3,0))</f>
        <v/>
      </c>
    </row>
    <row r="818">
      <c r="A818" s="33" t="n"/>
      <c r="B818" s="16" t="n"/>
      <c r="C818" s="16" t="n"/>
      <c r="D818" s="16" t="n"/>
      <c r="E818" s="34" t="n"/>
      <c r="F818" s="18" t="n"/>
      <c r="G818" s="35">
        <f>IF($E818="","",$E818*$F818/100)</f>
        <v/>
      </c>
      <c r="H818" s="18" t="n"/>
      <c r="I818" s="35">
        <f>IF($E818="","",$E818*$H818/100)</f>
        <v/>
      </c>
      <c r="J818" s="35">
        <f>IF($E818="","",$E818+$G818-$I818)</f>
        <v/>
      </c>
      <c r="K818" s="16" t="n"/>
      <c r="L818" s="20">
        <f>IF($A818="","",ROUNDUP(MONTH($A818)/3,0))</f>
        <v/>
      </c>
    </row>
    <row r="819">
      <c r="A819" s="33" t="n"/>
      <c r="B819" s="16" t="n"/>
      <c r="C819" s="16" t="n"/>
      <c r="D819" s="16" t="n"/>
      <c r="E819" s="34" t="n"/>
      <c r="F819" s="18" t="n"/>
      <c r="G819" s="35">
        <f>IF($E819="","",$E819*$F819/100)</f>
        <v/>
      </c>
      <c r="H819" s="18" t="n"/>
      <c r="I819" s="35">
        <f>IF($E819="","",$E819*$H819/100)</f>
        <v/>
      </c>
      <c r="J819" s="35">
        <f>IF($E819="","",$E819+$G819-$I819)</f>
        <v/>
      </c>
      <c r="K819" s="16" t="n"/>
      <c r="L819" s="20">
        <f>IF($A819="","",ROUNDUP(MONTH($A819)/3,0))</f>
        <v/>
      </c>
    </row>
    <row r="820">
      <c r="A820" s="33" t="n"/>
      <c r="B820" s="16" t="n"/>
      <c r="C820" s="16" t="n"/>
      <c r="D820" s="16" t="n"/>
      <c r="E820" s="34" t="n"/>
      <c r="F820" s="18" t="n"/>
      <c r="G820" s="35">
        <f>IF($E820="","",$E820*$F820/100)</f>
        <v/>
      </c>
      <c r="H820" s="18" t="n"/>
      <c r="I820" s="35">
        <f>IF($E820="","",$E820*$H820/100)</f>
        <v/>
      </c>
      <c r="J820" s="35">
        <f>IF($E820="","",$E820+$G820-$I820)</f>
        <v/>
      </c>
      <c r="K820" s="16" t="n"/>
      <c r="L820" s="20">
        <f>IF($A820="","",ROUNDUP(MONTH($A820)/3,0))</f>
        <v/>
      </c>
    </row>
    <row r="821">
      <c r="A821" s="33" t="n"/>
      <c r="B821" s="16" t="n"/>
      <c r="C821" s="16" t="n"/>
      <c r="D821" s="16" t="n"/>
      <c r="E821" s="34" t="n"/>
      <c r="F821" s="18" t="n"/>
      <c r="G821" s="35">
        <f>IF($E821="","",$E821*$F821/100)</f>
        <v/>
      </c>
      <c r="H821" s="18" t="n"/>
      <c r="I821" s="35">
        <f>IF($E821="","",$E821*$H821/100)</f>
        <v/>
      </c>
      <c r="J821" s="35">
        <f>IF($E821="","",$E821+$G821-$I821)</f>
        <v/>
      </c>
      <c r="K821" s="16" t="n"/>
      <c r="L821" s="20">
        <f>IF($A821="","",ROUNDUP(MONTH($A821)/3,0))</f>
        <v/>
      </c>
    </row>
    <row r="822">
      <c r="A822" s="33" t="n"/>
      <c r="B822" s="16" t="n"/>
      <c r="C822" s="16" t="n"/>
      <c r="D822" s="16" t="n"/>
      <c r="E822" s="34" t="n"/>
      <c r="F822" s="18" t="n"/>
      <c r="G822" s="35">
        <f>IF($E822="","",$E822*$F822/100)</f>
        <v/>
      </c>
      <c r="H822" s="18" t="n"/>
      <c r="I822" s="35">
        <f>IF($E822="","",$E822*$H822/100)</f>
        <v/>
      </c>
      <c r="J822" s="35">
        <f>IF($E822="","",$E822+$G822-$I822)</f>
        <v/>
      </c>
      <c r="K822" s="16" t="n"/>
      <c r="L822" s="20">
        <f>IF($A822="","",ROUNDUP(MONTH($A822)/3,0))</f>
        <v/>
      </c>
    </row>
    <row r="823">
      <c r="A823" s="33" t="n"/>
      <c r="B823" s="16" t="n"/>
      <c r="C823" s="16" t="n"/>
      <c r="D823" s="16" t="n"/>
      <c r="E823" s="34" t="n"/>
      <c r="F823" s="18" t="n"/>
      <c r="G823" s="35">
        <f>IF($E823="","",$E823*$F823/100)</f>
        <v/>
      </c>
      <c r="H823" s="18" t="n"/>
      <c r="I823" s="35">
        <f>IF($E823="","",$E823*$H823/100)</f>
        <v/>
      </c>
      <c r="J823" s="35">
        <f>IF($E823="","",$E823+$G823-$I823)</f>
        <v/>
      </c>
      <c r="K823" s="16" t="n"/>
      <c r="L823" s="20">
        <f>IF($A823="","",ROUNDUP(MONTH($A823)/3,0))</f>
        <v/>
      </c>
    </row>
    <row r="824">
      <c r="A824" s="33" t="n"/>
      <c r="B824" s="16" t="n"/>
      <c r="C824" s="16" t="n"/>
      <c r="D824" s="16" t="n"/>
      <c r="E824" s="34" t="n"/>
      <c r="F824" s="18" t="n"/>
      <c r="G824" s="35">
        <f>IF($E824="","",$E824*$F824/100)</f>
        <v/>
      </c>
      <c r="H824" s="18" t="n"/>
      <c r="I824" s="35">
        <f>IF($E824="","",$E824*$H824/100)</f>
        <v/>
      </c>
      <c r="J824" s="35">
        <f>IF($E824="","",$E824+$G824-$I824)</f>
        <v/>
      </c>
      <c r="K824" s="16" t="n"/>
      <c r="L824" s="20">
        <f>IF($A824="","",ROUNDUP(MONTH($A824)/3,0))</f>
        <v/>
      </c>
    </row>
    <row r="825">
      <c r="A825" s="33" t="n"/>
      <c r="B825" s="16" t="n"/>
      <c r="C825" s="16" t="n"/>
      <c r="D825" s="16" t="n"/>
      <c r="E825" s="34" t="n"/>
      <c r="F825" s="18" t="n"/>
      <c r="G825" s="35">
        <f>IF($E825="","",$E825*$F825/100)</f>
        <v/>
      </c>
      <c r="H825" s="18" t="n"/>
      <c r="I825" s="35">
        <f>IF($E825="","",$E825*$H825/100)</f>
        <v/>
      </c>
      <c r="J825" s="35">
        <f>IF($E825="","",$E825+$G825-$I825)</f>
        <v/>
      </c>
      <c r="K825" s="16" t="n"/>
      <c r="L825" s="20">
        <f>IF($A825="","",ROUNDUP(MONTH($A825)/3,0))</f>
        <v/>
      </c>
    </row>
    <row r="826">
      <c r="A826" s="33" t="n"/>
      <c r="B826" s="16" t="n"/>
      <c r="C826" s="16" t="n"/>
      <c r="D826" s="16" t="n"/>
      <c r="E826" s="34" t="n"/>
      <c r="F826" s="18" t="n"/>
      <c r="G826" s="35">
        <f>IF($E826="","",$E826*$F826/100)</f>
        <v/>
      </c>
      <c r="H826" s="18" t="n"/>
      <c r="I826" s="35">
        <f>IF($E826="","",$E826*$H826/100)</f>
        <v/>
      </c>
      <c r="J826" s="35">
        <f>IF($E826="","",$E826+$G826-$I826)</f>
        <v/>
      </c>
      <c r="K826" s="16" t="n"/>
      <c r="L826" s="20">
        <f>IF($A826="","",ROUNDUP(MONTH($A826)/3,0))</f>
        <v/>
      </c>
    </row>
    <row r="827">
      <c r="A827" s="33" t="n"/>
      <c r="B827" s="16" t="n"/>
      <c r="C827" s="16" t="n"/>
      <c r="D827" s="16" t="n"/>
      <c r="E827" s="34" t="n"/>
      <c r="F827" s="18" t="n"/>
      <c r="G827" s="35">
        <f>IF($E827="","",$E827*$F827/100)</f>
        <v/>
      </c>
      <c r="H827" s="18" t="n"/>
      <c r="I827" s="35">
        <f>IF($E827="","",$E827*$H827/100)</f>
        <v/>
      </c>
      <c r="J827" s="35">
        <f>IF($E827="","",$E827+$G827-$I827)</f>
        <v/>
      </c>
      <c r="K827" s="16" t="n"/>
      <c r="L827" s="20">
        <f>IF($A827="","",ROUNDUP(MONTH($A827)/3,0))</f>
        <v/>
      </c>
    </row>
    <row r="828">
      <c r="A828" s="33" t="n"/>
      <c r="B828" s="16" t="n"/>
      <c r="C828" s="16" t="n"/>
      <c r="D828" s="16" t="n"/>
      <c r="E828" s="34" t="n"/>
      <c r="F828" s="18" t="n"/>
      <c r="G828" s="35">
        <f>IF($E828="","",$E828*$F828/100)</f>
        <v/>
      </c>
      <c r="H828" s="18" t="n"/>
      <c r="I828" s="35">
        <f>IF($E828="","",$E828*$H828/100)</f>
        <v/>
      </c>
      <c r="J828" s="35">
        <f>IF($E828="","",$E828+$G828-$I828)</f>
        <v/>
      </c>
      <c r="K828" s="16" t="n"/>
      <c r="L828" s="20">
        <f>IF($A828="","",ROUNDUP(MONTH($A828)/3,0))</f>
        <v/>
      </c>
    </row>
    <row r="829">
      <c r="A829" s="33" t="n"/>
      <c r="B829" s="16" t="n"/>
      <c r="C829" s="16" t="n"/>
      <c r="D829" s="16" t="n"/>
      <c r="E829" s="34" t="n"/>
      <c r="F829" s="18" t="n"/>
      <c r="G829" s="35">
        <f>IF($E829="","",$E829*$F829/100)</f>
        <v/>
      </c>
      <c r="H829" s="18" t="n"/>
      <c r="I829" s="35">
        <f>IF($E829="","",$E829*$H829/100)</f>
        <v/>
      </c>
      <c r="J829" s="35">
        <f>IF($E829="","",$E829+$G829-$I829)</f>
        <v/>
      </c>
      <c r="K829" s="16" t="n"/>
      <c r="L829" s="20">
        <f>IF($A829="","",ROUNDUP(MONTH($A829)/3,0))</f>
        <v/>
      </c>
    </row>
    <row r="830">
      <c r="A830" s="33" t="n"/>
      <c r="B830" s="16" t="n"/>
      <c r="C830" s="16" t="n"/>
      <c r="D830" s="16" t="n"/>
      <c r="E830" s="34" t="n"/>
      <c r="F830" s="18" t="n"/>
      <c r="G830" s="35">
        <f>IF($E830="","",$E830*$F830/100)</f>
        <v/>
      </c>
      <c r="H830" s="18" t="n"/>
      <c r="I830" s="35">
        <f>IF($E830="","",$E830*$H830/100)</f>
        <v/>
      </c>
      <c r="J830" s="35">
        <f>IF($E830="","",$E830+$G830-$I830)</f>
        <v/>
      </c>
      <c r="K830" s="16" t="n"/>
      <c r="L830" s="20">
        <f>IF($A830="","",ROUNDUP(MONTH($A830)/3,0))</f>
        <v/>
      </c>
    </row>
    <row r="831">
      <c r="A831" s="33" t="n"/>
      <c r="B831" s="16" t="n"/>
      <c r="C831" s="16" t="n"/>
      <c r="D831" s="16" t="n"/>
      <c r="E831" s="34" t="n"/>
      <c r="F831" s="18" t="n"/>
      <c r="G831" s="35">
        <f>IF($E831="","",$E831*$F831/100)</f>
        <v/>
      </c>
      <c r="H831" s="18" t="n"/>
      <c r="I831" s="35">
        <f>IF($E831="","",$E831*$H831/100)</f>
        <v/>
      </c>
      <c r="J831" s="35">
        <f>IF($E831="","",$E831+$G831-$I831)</f>
        <v/>
      </c>
      <c r="K831" s="16" t="n"/>
      <c r="L831" s="20">
        <f>IF($A831="","",ROUNDUP(MONTH($A831)/3,0))</f>
        <v/>
      </c>
    </row>
    <row r="832">
      <c r="A832" s="33" t="n"/>
      <c r="B832" s="16" t="n"/>
      <c r="C832" s="16" t="n"/>
      <c r="D832" s="16" t="n"/>
      <c r="E832" s="34" t="n"/>
      <c r="F832" s="18" t="n"/>
      <c r="G832" s="35">
        <f>IF($E832="","",$E832*$F832/100)</f>
        <v/>
      </c>
      <c r="H832" s="18" t="n"/>
      <c r="I832" s="35">
        <f>IF($E832="","",$E832*$H832/100)</f>
        <v/>
      </c>
      <c r="J832" s="35">
        <f>IF($E832="","",$E832+$G832-$I832)</f>
        <v/>
      </c>
      <c r="K832" s="16" t="n"/>
      <c r="L832" s="20">
        <f>IF($A832="","",ROUNDUP(MONTH($A832)/3,0))</f>
        <v/>
      </c>
    </row>
    <row r="833">
      <c r="A833" s="33" t="n"/>
      <c r="B833" s="16" t="n"/>
      <c r="C833" s="16" t="n"/>
      <c r="D833" s="16" t="n"/>
      <c r="E833" s="34" t="n"/>
      <c r="F833" s="18" t="n"/>
      <c r="G833" s="35">
        <f>IF($E833="","",$E833*$F833/100)</f>
        <v/>
      </c>
      <c r="H833" s="18" t="n"/>
      <c r="I833" s="35">
        <f>IF($E833="","",$E833*$H833/100)</f>
        <v/>
      </c>
      <c r="J833" s="35">
        <f>IF($E833="","",$E833+$G833-$I833)</f>
        <v/>
      </c>
      <c r="K833" s="16" t="n"/>
      <c r="L833" s="20">
        <f>IF($A833="","",ROUNDUP(MONTH($A833)/3,0))</f>
        <v/>
      </c>
    </row>
    <row r="834">
      <c r="A834" s="33" t="n"/>
      <c r="B834" s="16" t="n"/>
      <c r="C834" s="16" t="n"/>
      <c r="D834" s="16" t="n"/>
      <c r="E834" s="34" t="n"/>
      <c r="F834" s="18" t="n"/>
      <c r="G834" s="35">
        <f>IF($E834="","",$E834*$F834/100)</f>
        <v/>
      </c>
      <c r="H834" s="18" t="n"/>
      <c r="I834" s="35">
        <f>IF($E834="","",$E834*$H834/100)</f>
        <v/>
      </c>
      <c r="J834" s="35">
        <f>IF($E834="","",$E834+$G834-$I834)</f>
        <v/>
      </c>
      <c r="K834" s="16" t="n"/>
      <c r="L834" s="20">
        <f>IF($A834="","",ROUNDUP(MONTH($A834)/3,0))</f>
        <v/>
      </c>
    </row>
    <row r="835">
      <c r="A835" s="33" t="n"/>
      <c r="B835" s="16" t="n"/>
      <c r="C835" s="16" t="n"/>
      <c r="D835" s="16" t="n"/>
      <c r="E835" s="34" t="n"/>
      <c r="F835" s="18" t="n"/>
      <c r="G835" s="35">
        <f>IF($E835="","",$E835*$F835/100)</f>
        <v/>
      </c>
      <c r="H835" s="18" t="n"/>
      <c r="I835" s="35">
        <f>IF($E835="","",$E835*$H835/100)</f>
        <v/>
      </c>
      <c r="J835" s="35">
        <f>IF($E835="","",$E835+$G835-$I835)</f>
        <v/>
      </c>
      <c r="K835" s="16" t="n"/>
      <c r="L835" s="20">
        <f>IF($A835="","",ROUNDUP(MONTH($A835)/3,0))</f>
        <v/>
      </c>
    </row>
    <row r="836">
      <c r="A836" s="33" t="n"/>
      <c r="B836" s="16" t="n"/>
      <c r="C836" s="16" t="n"/>
      <c r="D836" s="16" t="n"/>
      <c r="E836" s="34" t="n"/>
      <c r="F836" s="18" t="n"/>
      <c r="G836" s="35">
        <f>IF($E836="","",$E836*$F836/100)</f>
        <v/>
      </c>
      <c r="H836" s="18" t="n"/>
      <c r="I836" s="35">
        <f>IF($E836="","",$E836*$H836/100)</f>
        <v/>
      </c>
      <c r="J836" s="35">
        <f>IF($E836="","",$E836+$G836-$I836)</f>
        <v/>
      </c>
      <c r="K836" s="16" t="n"/>
      <c r="L836" s="20">
        <f>IF($A836="","",ROUNDUP(MONTH($A836)/3,0))</f>
        <v/>
      </c>
    </row>
    <row r="837">
      <c r="A837" s="33" t="n"/>
      <c r="B837" s="16" t="n"/>
      <c r="C837" s="16" t="n"/>
      <c r="D837" s="16" t="n"/>
      <c r="E837" s="34" t="n"/>
      <c r="F837" s="18" t="n"/>
      <c r="G837" s="35">
        <f>IF($E837="","",$E837*$F837/100)</f>
        <v/>
      </c>
      <c r="H837" s="18" t="n"/>
      <c r="I837" s="35">
        <f>IF($E837="","",$E837*$H837/100)</f>
        <v/>
      </c>
      <c r="J837" s="35">
        <f>IF($E837="","",$E837+$G837-$I837)</f>
        <v/>
      </c>
      <c r="K837" s="16" t="n"/>
      <c r="L837" s="20">
        <f>IF($A837="","",ROUNDUP(MONTH($A837)/3,0))</f>
        <v/>
      </c>
    </row>
    <row r="838">
      <c r="A838" s="33" t="n"/>
      <c r="B838" s="16" t="n"/>
      <c r="C838" s="16" t="n"/>
      <c r="D838" s="16" t="n"/>
      <c r="E838" s="34" t="n"/>
      <c r="F838" s="18" t="n"/>
      <c r="G838" s="35">
        <f>IF($E838="","",$E838*$F838/100)</f>
        <v/>
      </c>
      <c r="H838" s="18" t="n"/>
      <c r="I838" s="35">
        <f>IF($E838="","",$E838*$H838/100)</f>
        <v/>
      </c>
      <c r="J838" s="35">
        <f>IF($E838="","",$E838+$G838-$I838)</f>
        <v/>
      </c>
      <c r="K838" s="16" t="n"/>
      <c r="L838" s="20">
        <f>IF($A838="","",ROUNDUP(MONTH($A838)/3,0))</f>
        <v/>
      </c>
    </row>
    <row r="839">
      <c r="A839" s="33" t="n"/>
      <c r="B839" s="16" t="n"/>
      <c r="C839" s="16" t="n"/>
      <c r="D839" s="16" t="n"/>
      <c r="E839" s="34" t="n"/>
      <c r="F839" s="18" t="n"/>
      <c r="G839" s="35">
        <f>IF($E839="","",$E839*$F839/100)</f>
        <v/>
      </c>
      <c r="H839" s="18" t="n"/>
      <c r="I839" s="35">
        <f>IF($E839="","",$E839*$H839/100)</f>
        <v/>
      </c>
      <c r="J839" s="35">
        <f>IF($E839="","",$E839+$G839-$I839)</f>
        <v/>
      </c>
      <c r="K839" s="16" t="n"/>
      <c r="L839" s="20">
        <f>IF($A839="","",ROUNDUP(MONTH($A839)/3,0))</f>
        <v/>
      </c>
    </row>
    <row r="840">
      <c r="A840" s="33" t="n"/>
      <c r="B840" s="16" t="n"/>
      <c r="C840" s="16" t="n"/>
      <c r="D840" s="16" t="n"/>
      <c r="E840" s="34" t="n"/>
      <c r="F840" s="18" t="n"/>
      <c r="G840" s="35">
        <f>IF($E840="","",$E840*$F840/100)</f>
        <v/>
      </c>
      <c r="H840" s="18" t="n"/>
      <c r="I840" s="35">
        <f>IF($E840="","",$E840*$H840/100)</f>
        <v/>
      </c>
      <c r="J840" s="35">
        <f>IF($E840="","",$E840+$G840-$I840)</f>
        <v/>
      </c>
      <c r="K840" s="16" t="n"/>
      <c r="L840" s="20">
        <f>IF($A840="","",ROUNDUP(MONTH($A840)/3,0))</f>
        <v/>
      </c>
    </row>
    <row r="841">
      <c r="A841" s="33" t="n"/>
      <c r="B841" s="16" t="n"/>
      <c r="C841" s="16" t="n"/>
      <c r="D841" s="16" t="n"/>
      <c r="E841" s="34" t="n"/>
      <c r="F841" s="18" t="n"/>
      <c r="G841" s="35">
        <f>IF($E841="","",$E841*$F841/100)</f>
        <v/>
      </c>
      <c r="H841" s="18" t="n"/>
      <c r="I841" s="35">
        <f>IF($E841="","",$E841*$H841/100)</f>
        <v/>
      </c>
      <c r="J841" s="35">
        <f>IF($E841="","",$E841+$G841-$I841)</f>
        <v/>
      </c>
      <c r="K841" s="16" t="n"/>
      <c r="L841" s="20">
        <f>IF($A841="","",ROUNDUP(MONTH($A841)/3,0))</f>
        <v/>
      </c>
    </row>
    <row r="842">
      <c r="A842" s="33" t="n"/>
      <c r="B842" s="16" t="n"/>
      <c r="C842" s="16" t="n"/>
      <c r="D842" s="16" t="n"/>
      <c r="E842" s="34" t="n"/>
      <c r="F842" s="18" t="n"/>
      <c r="G842" s="35">
        <f>IF($E842="","",$E842*$F842/100)</f>
        <v/>
      </c>
      <c r="H842" s="18" t="n"/>
      <c r="I842" s="35">
        <f>IF($E842="","",$E842*$H842/100)</f>
        <v/>
      </c>
      <c r="J842" s="35">
        <f>IF($E842="","",$E842+$G842-$I842)</f>
        <v/>
      </c>
      <c r="K842" s="16" t="n"/>
      <c r="L842" s="20">
        <f>IF($A842="","",ROUNDUP(MONTH($A842)/3,0))</f>
        <v/>
      </c>
    </row>
    <row r="843">
      <c r="A843" s="33" t="n"/>
      <c r="B843" s="16" t="n"/>
      <c r="C843" s="16" t="n"/>
      <c r="D843" s="16" t="n"/>
      <c r="E843" s="34" t="n"/>
      <c r="F843" s="18" t="n"/>
      <c r="G843" s="35">
        <f>IF($E843="","",$E843*$F843/100)</f>
        <v/>
      </c>
      <c r="H843" s="18" t="n"/>
      <c r="I843" s="35">
        <f>IF($E843="","",$E843*$H843/100)</f>
        <v/>
      </c>
      <c r="J843" s="35">
        <f>IF($E843="","",$E843+$G843-$I843)</f>
        <v/>
      </c>
      <c r="K843" s="16" t="n"/>
      <c r="L843" s="20">
        <f>IF($A843="","",ROUNDUP(MONTH($A843)/3,0))</f>
        <v/>
      </c>
    </row>
    <row r="844">
      <c r="A844" s="33" t="n"/>
      <c r="B844" s="16" t="n"/>
      <c r="C844" s="16" t="n"/>
      <c r="D844" s="16" t="n"/>
      <c r="E844" s="34" t="n"/>
      <c r="F844" s="18" t="n"/>
      <c r="G844" s="35">
        <f>IF($E844="","",$E844*$F844/100)</f>
        <v/>
      </c>
      <c r="H844" s="18" t="n"/>
      <c r="I844" s="35">
        <f>IF($E844="","",$E844*$H844/100)</f>
        <v/>
      </c>
      <c r="J844" s="35">
        <f>IF($E844="","",$E844+$G844-$I844)</f>
        <v/>
      </c>
      <c r="K844" s="16" t="n"/>
      <c r="L844" s="20">
        <f>IF($A844="","",ROUNDUP(MONTH($A844)/3,0))</f>
        <v/>
      </c>
    </row>
    <row r="845">
      <c r="A845" s="33" t="n"/>
      <c r="B845" s="16" t="n"/>
      <c r="C845" s="16" t="n"/>
      <c r="D845" s="16" t="n"/>
      <c r="E845" s="34" t="n"/>
      <c r="F845" s="18" t="n"/>
      <c r="G845" s="35">
        <f>IF($E845="","",$E845*$F845/100)</f>
        <v/>
      </c>
      <c r="H845" s="18" t="n"/>
      <c r="I845" s="35">
        <f>IF($E845="","",$E845*$H845/100)</f>
        <v/>
      </c>
      <c r="J845" s="35">
        <f>IF($E845="","",$E845+$G845-$I845)</f>
        <v/>
      </c>
      <c r="K845" s="16" t="n"/>
      <c r="L845" s="20">
        <f>IF($A845="","",ROUNDUP(MONTH($A845)/3,0))</f>
        <v/>
      </c>
    </row>
    <row r="846">
      <c r="A846" s="33" t="n"/>
      <c r="B846" s="16" t="n"/>
      <c r="C846" s="16" t="n"/>
      <c r="D846" s="16" t="n"/>
      <c r="E846" s="34" t="n"/>
      <c r="F846" s="18" t="n"/>
      <c r="G846" s="35">
        <f>IF($E846="","",$E846*$F846/100)</f>
        <v/>
      </c>
      <c r="H846" s="18" t="n"/>
      <c r="I846" s="35">
        <f>IF($E846="","",$E846*$H846/100)</f>
        <v/>
      </c>
      <c r="J846" s="35">
        <f>IF($E846="","",$E846+$G846-$I846)</f>
        <v/>
      </c>
      <c r="K846" s="16" t="n"/>
      <c r="L846" s="20">
        <f>IF($A846="","",ROUNDUP(MONTH($A846)/3,0))</f>
        <v/>
      </c>
    </row>
    <row r="847">
      <c r="A847" s="33" t="n"/>
      <c r="B847" s="16" t="n"/>
      <c r="C847" s="16" t="n"/>
      <c r="D847" s="16" t="n"/>
      <c r="E847" s="34" t="n"/>
      <c r="F847" s="18" t="n"/>
      <c r="G847" s="35">
        <f>IF($E847="","",$E847*$F847/100)</f>
        <v/>
      </c>
      <c r="H847" s="18" t="n"/>
      <c r="I847" s="35">
        <f>IF($E847="","",$E847*$H847/100)</f>
        <v/>
      </c>
      <c r="J847" s="35">
        <f>IF($E847="","",$E847+$G847-$I847)</f>
        <v/>
      </c>
      <c r="K847" s="16" t="n"/>
      <c r="L847" s="20">
        <f>IF($A847="","",ROUNDUP(MONTH($A847)/3,0))</f>
        <v/>
      </c>
    </row>
    <row r="848">
      <c r="A848" s="33" t="n"/>
      <c r="B848" s="16" t="n"/>
      <c r="C848" s="16" t="n"/>
      <c r="D848" s="16" t="n"/>
      <c r="E848" s="34" t="n"/>
      <c r="F848" s="18" t="n"/>
      <c r="G848" s="35">
        <f>IF($E848="","",$E848*$F848/100)</f>
        <v/>
      </c>
      <c r="H848" s="18" t="n"/>
      <c r="I848" s="35">
        <f>IF($E848="","",$E848*$H848/100)</f>
        <v/>
      </c>
      <c r="J848" s="35">
        <f>IF($E848="","",$E848+$G848-$I848)</f>
        <v/>
      </c>
      <c r="K848" s="16" t="n"/>
      <c r="L848" s="20">
        <f>IF($A848="","",ROUNDUP(MONTH($A848)/3,0))</f>
        <v/>
      </c>
    </row>
    <row r="849">
      <c r="A849" s="33" t="n"/>
      <c r="B849" s="16" t="n"/>
      <c r="C849" s="16" t="n"/>
      <c r="D849" s="16" t="n"/>
      <c r="E849" s="34" t="n"/>
      <c r="F849" s="18" t="n"/>
      <c r="G849" s="35">
        <f>IF($E849="","",$E849*$F849/100)</f>
        <v/>
      </c>
      <c r="H849" s="18" t="n"/>
      <c r="I849" s="35">
        <f>IF($E849="","",$E849*$H849/100)</f>
        <v/>
      </c>
      <c r="J849" s="35">
        <f>IF($E849="","",$E849+$G849-$I849)</f>
        <v/>
      </c>
      <c r="K849" s="16" t="n"/>
      <c r="L849" s="20">
        <f>IF($A849="","",ROUNDUP(MONTH($A849)/3,0))</f>
        <v/>
      </c>
    </row>
    <row r="850">
      <c r="A850" s="33" t="n"/>
      <c r="B850" s="16" t="n"/>
      <c r="C850" s="16" t="n"/>
      <c r="D850" s="16" t="n"/>
      <c r="E850" s="34" t="n"/>
      <c r="F850" s="18" t="n"/>
      <c r="G850" s="35">
        <f>IF($E850="","",$E850*$F850/100)</f>
        <v/>
      </c>
      <c r="H850" s="18" t="n"/>
      <c r="I850" s="35">
        <f>IF($E850="","",$E850*$H850/100)</f>
        <v/>
      </c>
      <c r="J850" s="35">
        <f>IF($E850="","",$E850+$G850-$I850)</f>
        <v/>
      </c>
      <c r="K850" s="16" t="n"/>
      <c r="L850" s="20">
        <f>IF($A850="","",ROUNDUP(MONTH($A850)/3,0))</f>
        <v/>
      </c>
    </row>
    <row r="851">
      <c r="A851" s="33" t="n"/>
      <c r="B851" s="16" t="n"/>
      <c r="C851" s="16" t="n"/>
      <c r="D851" s="16" t="n"/>
      <c r="E851" s="34" t="n"/>
      <c r="F851" s="18" t="n"/>
      <c r="G851" s="35">
        <f>IF($E851="","",$E851*$F851/100)</f>
        <v/>
      </c>
      <c r="H851" s="18" t="n"/>
      <c r="I851" s="35">
        <f>IF($E851="","",$E851*$H851/100)</f>
        <v/>
      </c>
      <c r="J851" s="35">
        <f>IF($E851="","",$E851+$G851-$I851)</f>
        <v/>
      </c>
      <c r="K851" s="16" t="n"/>
      <c r="L851" s="20">
        <f>IF($A851="","",ROUNDUP(MONTH($A851)/3,0))</f>
        <v/>
      </c>
    </row>
    <row r="852">
      <c r="A852" s="33" t="n"/>
      <c r="B852" s="16" t="n"/>
      <c r="C852" s="16" t="n"/>
      <c r="D852" s="16" t="n"/>
      <c r="E852" s="34" t="n"/>
      <c r="F852" s="18" t="n"/>
      <c r="G852" s="35">
        <f>IF($E852="","",$E852*$F852/100)</f>
        <v/>
      </c>
      <c r="H852" s="18" t="n"/>
      <c r="I852" s="35">
        <f>IF($E852="","",$E852*$H852/100)</f>
        <v/>
      </c>
      <c r="J852" s="35">
        <f>IF($E852="","",$E852+$G852-$I852)</f>
        <v/>
      </c>
      <c r="K852" s="16" t="n"/>
      <c r="L852" s="20">
        <f>IF($A852="","",ROUNDUP(MONTH($A852)/3,0))</f>
        <v/>
      </c>
    </row>
    <row r="853">
      <c r="A853" s="33" t="n"/>
      <c r="B853" s="16" t="n"/>
      <c r="C853" s="16" t="n"/>
      <c r="D853" s="16" t="n"/>
      <c r="E853" s="34" t="n"/>
      <c r="F853" s="18" t="n"/>
      <c r="G853" s="35">
        <f>IF($E853="","",$E853*$F853/100)</f>
        <v/>
      </c>
      <c r="H853" s="18" t="n"/>
      <c r="I853" s="35">
        <f>IF($E853="","",$E853*$H853/100)</f>
        <v/>
      </c>
      <c r="J853" s="35">
        <f>IF($E853="","",$E853+$G853-$I853)</f>
        <v/>
      </c>
      <c r="K853" s="16" t="n"/>
      <c r="L853" s="20">
        <f>IF($A853="","",ROUNDUP(MONTH($A853)/3,0))</f>
        <v/>
      </c>
    </row>
    <row r="854">
      <c r="A854" s="33" t="n"/>
      <c r="B854" s="16" t="n"/>
      <c r="C854" s="16" t="n"/>
      <c r="D854" s="16" t="n"/>
      <c r="E854" s="34" t="n"/>
      <c r="F854" s="18" t="n"/>
      <c r="G854" s="35">
        <f>IF($E854="","",$E854*$F854/100)</f>
        <v/>
      </c>
      <c r="H854" s="18" t="n"/>
      <c r="I854" s="35">
        <f>IF($E854="","",$E854*$H854/100)</f>
        <v/>
      </c>
      <c r="J854" s="35">
        <f>IF($E854="","",$E854+$G854-$I854)</f>
        <v/>
      </c>
      <c r="K854" s="16" t="n"/>
      <c r="L854" s="20">
        <f>IF($A854="","",ROUNDUP(MONTH($A854)/3,0))</f>
        <v/>
      </c>
    </row>
    <row r="855">
      <c r="A855" s="33" t="n"/>
      <c r="B855" s="16" t="n"/>
      <c r="C855" s="16" t="n"/>
      <c r="D855" s="16" t="n"/>
      <c r="E855" s="34" t="n"/>
      <c r="F855" s="18" t="n"/>
      <c r="G855" s="35">
        <f>IF($E855="","",$E855*$F855/100)</f>
        <v/>
      </c>
      <c r="H855" s="18" t="n"/>
      <c r="I855" s="35">
        <f>IF($E855="","",$E855*$H855/100)</f>
        <v/>
      </c>
      <c r="J855" s="35">
        <f>IF($E855="","",$E855+$G855-$I855)</f>
        <v/>
      </c>
      <c r="K855" s="16" t="n"/>
      <c r="L855" s="20">
        <f>IF($A855="","",ROUNDUP(MONTH($A855)/3,0))</f>
        <v/>
      </c>
    </row>
    <row r="856">
      <c r="A856" s="33" t="n"/>
      <c r="B856" s="16" t="n"/>
      <c r="C856" s="16" t="n"/>
      <c r="D856" s="16" t="n"/>
      <c r="E856" s="34" t="n"/>
      <c r="F856" s="18" t="n"/>
      <c r="G856" s="35">
        <f>IF($E856="","",$E856*$F856/100)</f>
        <v/>
      </c>
      <c r="H856" s="18" t="n"/>
      <c r="I856" s="35">
        <f>IF($E856="","",$E856*$H856/100)</f>
        <v/>
      </c>
      <c r="J856" s="35">
        <f>IF($E856="","",$E856+$G856-$I856)</f>
        <v/>
      </c>
      <c r="K856" s="16" t="n"/>
      <c r="L856" s="20">
        <f>IF($A856="","",ROUNDUP(MONTH($A856)/3,0))</f>
        <v/>
      </c>
    </row>
    <row r="857">
      <c r="A857" s="33" t="n"/>
      <c r="B857" s="16" t="n"/>
      <c r="C857" s="16" t="n"/>
      <c r="D857" s="16" t="n"/>
      <c r="E857" s="34" t="n"/>
      <c r="F857" s="18" t="n"/>
      <c r="G857" s="35">
        <f>IF($E857="","",$E857*$F857/100)</f>
        <v/>
      </c>
      <c r="H857" s="18" t="n"/>
      <c r="I857" s="35">
        <f>IF($E857="","",$E857*$H857/100)</f>
        <v/>
      </c>
      <c r="J857" s="35">
        <f>IF($E857="","",$E857+$G857-$I857)</f>
        <v/>
      </c>
      <c r="K857" s="16" t="n"/>
      <c r="L857" s="20">
        <f>IF($A857="","",ROUNDUP(MONTH($A857)/3,0))</f>
        <v/>
      </c>
    </row>
    <row r="858">
      <c r="A858" s="33" t="n"/>
      <c r="B858" s="16" t="n"/>
      <c r="C858" s="16" t="n"/>
      <c r="D858" s="16" t="n"/>
      <c r="E858" s="34" t="n"/>
      <c r="F858" s="18" t="n"/>
      <c r="G858" s="35">
        <f>IF($E858="","",$E858*$F858/100)</f>
        <v/>
      </c>
      <c r="H858" s="18" t="n"/>
      <c r="I858" s="35">
        <f>IF($E858="","",$E858*$H858/100)</f>
        <v/>
      </c>
      <c r="J858" s="35">
        <f>IF($E858="","",$E858+$G858-$I858)</f>
        <v/>
      </c>
      <c r="K858" s="16" t="n"/>
      <c r="L858" s="20">
        <f>IF($A858="","",ROUNDUP(MONTH($A858)/3,0))</f>
        <v/>
      </c>
    </row>
    <row r="859">
      <c r="A859" s="33" t="n"/>
      <c r="B859" s="16" t="n"/>
      <c r="C859" s="16" t="n"/>
      <c r="D859" s="16" t="n"/>
      <c r="E859" s="34" t="n"/>
      <c r="F859" s="18" t="n"/>
      <c r="G859" s="35">
        <f>IF($E859="","",$E859*$F859/100)</f>
        <v/>
      </c>
      <c r="H859" s="18" t="n"/>
      <c r="I859" s="35">
        <f>IF($E859="","",$E859*$H859/100)</f>
        <v/>
      </c>
      <c r="J859" s="35">
        <f>IF($E859="","",$E859+$G859-$I859)</f>
        <v/>
      </c>
      <c r="K859" s="16" t="n"/>
      <c r="L859" s="20">
        <f>IF($A859="","",ROUNDUP(MONTH($A859)/3,0))</f>
        <v/>
      </c>
    </row>
    <row r="860">
      <c r="A860" s="33" t="n"/>
      <c r="B860" s="16" t="n"/>
      <c r="C860" s="16" t="n"/>
      <c r="D860" s="16" t="n"/>
      <c r="E860" s="34" t="n"/>
      <c r="F860" s="18" t="n"/>
      <c r="G860" s="35">
        <f>IF($E860="","",$E860*$F860/100)</f>
        <v/>
      </c>
      <c r="H860" s="18" t="n"/>
      <c r="I860" s="35">
        <f>IF($E860="","",$E860*$H860/100)</f>
        <v/>
      </c>
      <c r="J860" s="35">
        <f>IF($E860="","",$E860+$G860-$I860)</f>
        <v/>
      </c>
      <c r="K860" s="16" t="n"/>
      <c r="L860" s="20">
        <f>IF($A860="","",ROUNDUP(MONTH($A860)/3,0))</f>
        <v/>
      </c>
    </row>
    <row r="861">
      <c r="A861" s="33" t="n"/>
      <c r="B861" s="16" t="n"/>
      <c r="C861" s="16" t="n"/>
      <c r="D861" s="16" t="n"/>
      <c r="E861" s="34" t="n"/>
      <c r="F861" s="18" t="n"/>
      <c r="G861" s="35">
        <f>IF($E861="","",$E861*$F861/100)</f>
        <v/>
      </c>
      <c r="H861" s="18" t="n"/>
      <c r="I861" s="35">
        <f>IF($E861="","",$E861*$H861/100)</f>
        <v/>
      </c>
      <c r="J861" s="35">
        <f>IF($E861="","",$E861+$G861-$I861)</f>
        <v/>
      </c>
      <c r="K861" s="16" t="n"/>
      <c r="L861" s="20">
        <f>IF($A861="","",ROUNDUP(MONTH($A861)/3,0))</f>
        <v/>
      </c>
    </row>
    <row r="862">
      <c r="A862" s="33" t="n"/>
      <c r="B862" s="16" t="n"/>
      <c r="C862" s="16" t="n"/>
      <c r="D862" s="16" t="n"/>
      <c r="E862" s="34" t="n"/>
      <c r="F862" s="18" t="n"/>
      <c r="G862" s="35">
        <f>IF($E862="","",$E862*$F862/100)</f>
        <v/>
      </c>
      <c r="H862" s="18" t="n"/>
      <c r="I862" s="35">
        <f>IF($E862="","",$E862*$H862/100)</f>
        <v/>
      </c>
      <c r="J862" s="35">
        <f>IF($E862="","",$E862+$G862-$I862)</f>
        <v/>
      </c>
      <c r="K862" s="16" t="n"/>
      <c r="L862" s="20">
        <f>IF($A862="","",ROUNDUP(MONTH($A862)/3,0))</f>
        <v/>
      </c>
    </row>
    <row r="863">
      <c r="A863" s="33" t="n"/>
      <c r="B863" s="16" t="n"/>
      <c r="C863" s="16" t="n"/>
      <c r="D863" s="16" t="n"/>
      <c r="E863" s="34" t="n"/>
      <c r="F863" s="18" t="n"/>
      <c r="G863" s="35">
        <f>IF($E863="","",$E863*$F863/100)</f>
        <v/>
      </c>
      <c r="H863" s="18" t="n"/>
      <c r="I863" s="35">
        <f>IF($E863="","",$E863*$H863/100)</f>
        <v/>
      </c>
      <c r="J863" s="35">
        <f>IF($E863="","",$E863+$G863-$I863)</f>
        <v/>
      </c>
      <c r="K863" s="16" t="n"/>
      <c r="L863" s="20">
        <f>IF($A863="","",ROUNDUP(MONTH($A863)/3,0))</f>
        <v/>
      </c>
    </row>
    <row r="864">
      <c r="A864" s="33" t="n"/>
      <c r="B864" s="16" t="n"/>
      <c r="C864" s="16" t="n"/>
      <c r="D864" s="16" t="n"/>
      <c r="E864" s="34" t="n"/>
      <c r="F864" s="18" t="n"/>
      <c r="G864" s="35">
        <f>IF($E864="","",$E864*$F864/100)</f>
        <v/>
      </c>
      <c r="H864" s="18" t="n"/>
      <c r="I864" s="35">
        <f>IF($E864="","",$E864*$H864/100)</f>
        <v/>
      </c>
      <c r="J864" s="35">
        <f>IF($E864="","",$E864+$G864-$I864)</f>
        <v/>
      </c>
      <c r="K864" s="16" t="n"/>
      <c r="L864" s="20">
        <f>IF($A864="","",ROUNDUP(MONTH($A864)/3,0))</f>
        <v/>
      </c>
    </row>
    <row r="865">
      <c r="A865" s="33" t="n"/>
      <c r="B865" s="16" t="n"/>
      <c r="C865" s="16" t="n"/>
      <c r="D865" s="16" t="n"/>
      <c r="E865" s="34" t="n"/>
      <c r="F865" s="18" t="n"/>
      <c r="G865" s="35">
        <f>IF($E865="","",$E865*$F865/100)</f>
        <v/>
      </c>
      <c r="H865" s="18" t="n"/>
      <c r="I865" s="35">
        <f>IF($E865="","",$E865*$H865/100)</f>
        <v/>
      </c>
      <c r="J865" s="35">
        <f>IF($E865="","",$E865+$G865-$I865)</f>
        <v/>
      </c>
      <c r="K865" s="16" t="n"/>
      <c r="L865" s="20">
        <f>IF($A865="","",ROUNDUP(MONTH($A865)/3,0))</f>
        <v/>
      </c>
    </row>
    <row r="866">
      <c r="A866" s="33" t="n"/>
      <c r="B866" s="16" t="n"/>
      <c r="C866" s="16" t="n"/>
      <c r="D866" s="16" t="n"/>
      <c r="E866" s="34" t="n"/>
      <c r="F866" s="18" t="n"/>
      <c r="G866" s="35">
        <f>IF($E866="","",$E866*$F866/100)</f>
        <v/>
      </c>
      <c r="H866" s="18" t="n"/>
      <c r="I866" s="35">
        <f>IF($E866="","",$E866*$H866/100)</f>
        <v/>
      </c>
      <c r="J866" s="35">
        <f>IF($E866="","",$E866+$G866-$I866)</f>
        <v/>
      </c>
      <c r="K866" s="16" t="n"/>
      <c r="L866" s="20">
        <f>IF($A866="","",ROUNDUP(MONTH($A866)/3,0))</f>
        <v/>
      </c>
    </row>
    <row r="867">
      <c r="A867" s="33" t="n"/>
      <c r="B867" s="16" t="n"/>
      <c r="C867" s="16" t="n"/>
      <c r="D867" s="16" t="n"/>
      <c r="E867" s="34" t="n"/>
      <c r="F867" s="18" t="n"/>
      <c r="G867" s="35">
        <f>IF($E867="","",$E867*$F867/100)</f>
        <v/>
      </c>
      <c r="H867" s="18" t="n"/>
      <c r="I867" s="35">
        <f>IF($E867="","",$E867*$H867/100)</f>
        <v/>
      </c>
      <c r="J867" s="35">
        <f>IF($E867="","",$E867+$G867-$I867)</f>
        <v/>
      </c>
      <c r="K867" s="16" t="n"/>
      <c r="L867" s="20">
        <f>IF($A867="","",ROUNDUP(MONTH($A867)/3,0))</f>
        <v/>
      </c>
    </row>
    <row r="868">
      <c r="A868" s="33" t="n"/>
      <c r="B868" s="16" t="n"/>
      <c r="C868" s="16" t="n"/>
      <c r="D868" s="16" t="n"/>
      <c r="E868" s="34" t="n"/>
      <c r="F868" s="18" t="n"/>
      <c r="G868" s="35">
        <f>IF($E868="","",$E868*$F868/100)</f>
        <v/>
      </c>
      <c r="H868" s="18" t="n"/>
      <c r="I868" s="35">
        <f>IF($E868="","",$E868*$H868/100)</f>
        <v/>
      </c>
      <c r="J868" s="35">
        <f>IF($E868="","",$E868+$G868-$I868)</f>
        <v/>
      </c>
      <c r="K868" s="16" t="n"/>
      <c r="L868" s="20">
        <f>IF($A868="","",ROUNDUP(MONTH($A868)/3,0))</f>
        <v/>
      </c>
    </row>
    <row r="869">
      <c r="A869" s="33" t="n"/>
      <c r="B869" s="16" t="n"/>
      <c r="C869" s="16" t="n"/>
      <c r="D869" s="16" t="n"/>
      <c r="E869" s="34" t="n"/>
      <c r="F869" s="18" t="n"/>
      <c r="G869" s="35">
        <f>IF($E869="","",$E869*$F869/100)</f>
        <v/>
      </c>
      <c r="H869" s="18" t="n"/>
      <c r="I869" s="35">
        <f>IF($E869="","",$E869*$H869/100)</f>
        <v/>
      </c>
      <c r="J869" s="35">
        <f>IF($E869="","",$E869+$G869-$I869)</f>
        <v/>
      </c>
      <c r="K869" s="16" t="n"/>
      <c r="L869" s="20">
        <f>IF($A869="","",ROUNDUP(MONTH($A869)/3,0))</f>
        <v/>
      </c>
    </row>
    <row r="870">
      <c r="A870" s="33" t="n"/>
      <c r="B870" s="16" t="n"/>
      <c r="C870" s="16" t="n"/>
      <c r="D870" s="16" t="n"/>
      <c r="E870" s="34" t="n"/>
      <c r="F870" s="18" t="n"/>
      <c r="G870" s="35">
        <f>IF($E870="","",$E870*$F870/100)</f>
        <v/>
      </c>
      <c r="H870" s="18" t="n"/>
      <c r="I870" s="35">
        <f>IF($E870="","",$E870*$H870/100)</f>
        <v/>
      </c>
      <c r="J870" s="35">
        <f>IF($E870="","",$E870+$G870-$I870)</f>
        <v/>
      </c>
      <c r="K870" s="16" t="n"/>
      <c r="L870" s="20">
        <f>IF($A870="","",ROUNDUP(MONTH($A870)/3,0))</f>
        <v/>
      </c>
    </row>
    <row r="871">
      <c r="A871" s="33" t="n"/>
      <c r="B871" s="16" t="n"/>
      <c r="C871" s="16" t="n"/>
      <c r="D871" s="16" t="n"/>
      <c r="E871" s="34" t="n"/>
      <c r="F871" s="18" t="n"/>
      <c r="G871" s="35">
        <f>IF($E871="","",$E871*$F871/100)</f>
        <v/>
      </c>
      <c r="H871" s="18" t="n"/>
      <c r="I871" s="35">
        <f>IF($E871="","",$E871*$H871/100)</f>
        <v/>
      </c>
      <c r="J871" s="35">
        <f>IF($E871="","",$E871+$G871-$I871)</f>
        <v/>
      </c>
      <c r="K871" s="16" t="n"/>
      <c r="L871" s="20">
        <f>IF($A871="","",ROUNDUP(MONTH($A871)/3,0))</f>
        <v/>
      </c>
    </row>
    <row r="872">
      <c r="A872" s="33" t="n"/>
      <c r="B872" s="16" t="n"/>
      <c r="C872" s="16" t="n"/>
      <c r="D872" s="16" t="n"/>
      <c r="E872" s="34" t="n"/>
      <c r="F872" s="18" t="n"/>
      <c r="G872" s="35">
        <f>IF($E872="","",$E872*$F872/100)</f>
        <v/>
      </c>
      <c r="H872" s="18" t="n"/>
      <c r="I872" s="35">
        <f>IF($E872="","",$E872*$H872/100)</f>
        <v/>
      </c>
      <c r="J872" s="35">
        <f>IF($E872="","",$E872+$G872-$I872)</f>
        <v/>
      </c>
      <c r="K872" s="16" t="n"/>
      <c r="L872" s="20">
        <f>IF($A872="","",ROUNDUP(MONTH($A872)/3,0))</f>
        <v/>
      </c>
    </row>
    <row r="873">
      <c r="A873" s="33" t="n"/>
      <c r="B873" s="16" t="n"/>
      <c r="C873" s="16" t="n"/>
      <c r="D873" s="16" t="n"/>
      <c r="E873" s="34" t="n"/>
      <c r="F873" s="18" t="n"/>
      <c r="G873" s="35">
        <f>IF($E873="","",$E873*$F873/100)</f>
        <v/>
      </c>
      <c r="H873" s="18" t="n"/>
      <c r="I873" s="35">
        <f>IF($E873="","",$E873*$H873/100)</f>
        <v/>
      </c>
      <c r="J873" s="35">
        <f>IF($E873="","",$E873+$G873-$I873)</f>
        <v/>
      </c>
      <c r="K873" s="16" t="n"/>
      <c r="L873" s="20">
        <f>IF($A873="","",ROUNDUP(MONTH($A873)/3,0))</f>
        <v/>
      </c>
    </row>
    <row r="874">
      <c r="A874" s="33" t="n"/>
      <c r="B874" s="16" t="n"/>
      <c r="C874" s="16" t="n"/>
      <c r="D874" s="16" t="n"/>
      <c r="E874" s="34" t="n"/>
      <c r="F874" s="18" t="n"/>
      <c r="G874" s="35">
        <f>IF($E874="","",$E874*$F874/100)</f>
        <v/>
      </c>
      <c r="H874" s="18" t="n"/>
      <c r="I874" s="35">
        <f>IF($E874="","",$E874*$H874/100)</f>
        <v/>
      </c>
      <c r="J874" s="35">
        <f>IF($E874="","",$E874+$G874-$I874)</f>
        <v/>
      </c>
      <c r="K874" s="16" t="n"/>
      <c r="L874" s="20">
        <f>IF($A874="","",ROUNDUP(MONTH($A874)/3,0))</f>
        <v/>
      </c>
    </row>
    <row r="875">
      <c r="A875" s="33" t="n"/>
      <c r="B875" s="16" t="n"/>
      <c r="C875" s="16" t="n"/>
      <c r="D875" s="16" t="n"/>
      <c r="E875" s="34" t="n"/>
      <c r="F875" s="18" t="n"/>
      <c r="G875" s="35">
        <f>IF($E875="","",$E875*$F875/100)</f>
        <v/>
      </c>
      <c r="H875" s="18" t="n"/>
      <c r="I875" s="35">
        <f>IF($E875="","",$E875*$H875/100)</f>
        <v/>
      </c>
      <c r="J875" s="35">
        <f>IF($E875="","",$E875+$G875-$I875)</f>
        <v/>
      </c>
      <c r="K875" s="16" t="n"/>
      <c r="L875" s="20">
        <f>IF($A875="","",ROUNDUP(MONTH($A875)/3,0))</f>
        <v/>
      </c>
    </row>
    <row r="876">
      <c r="A876" s="33" t="n"/>
      <c r="B876" s="16" t="n"/>
      <c r="C876" s="16" t="n"/>
      <c r="D876" s="16" t="n"/>
      <c r="E876" s="34" t="n"/>
      <c r="F876" s="18" t="n"/>
      <c r="G876" s="35">
        <f>IF($E876="","",$E876*$F876/100)</f>
        <v/>
      </c>
      <c r="H876" s="18" t="n"/>
      <c r="I876" s="35">
        <f>IF($E876="","",$E876*$H876/100)</f>
        <v/>
      </c>
      <c r="J876" s="35">
        <f>IF($E876="","",$E876+$G876-$I876)</f>
        <v/>
      </c>
      <c r="K876" s="16" t="n"/>
      <c r="L876" s="20">
        <f>IF($A876="","",ROUNDUP(MONTH($A876)/3,0))</f>
        <v/>
      </c>
    </row>
    <row r="877">
      <c r="A877" s="33" t="n"/>
      <c r="B877" s="16" t="n"/>
      <c r="C877" s="16" t="n"/>
      <c r="D877" s="16" t="n"/>
      <c r="E877" s="34" t="n"/>
      <c r="F877" s="18" t="n"/>
      <c r="G877" s="35">
        <f>IF($E877="","",$E877*$F877/100)</f>
        <v/>
      </c>
      <c r="H877" s="18" t="n"/>
      <c r="I877" s="35">
        <f>IF($E877="","",$E877*$H877/100)</f>
        <v/>
      </c>
      <c r="J877" s="35">
        <f>IF($E877="","",$E877+$G877-$I877)</f>
        <v/>
      </c>
      <c r="K877" s="16" t="n"/>
      <c r="L877" s="20">
        <f>IF($A877="","",ROUNDUP(MONTH($A877)/3,0))</f>
        <v/>
      </c>
    </row>
    <row r="878">
      <c r="A878" s="33" t="n"/>
      <c r="B878" s="16" t="n"/>
      <c r="C878" s="16" t="n"/>
      <c r="D878" s="16" t="n"/>
      <c r="E878" s="34" t="n"/>
      <c r="F878" s="18" t="n"/>
      <c r="G878" s="35">
        <f>IF($E878="","",$E878*$F878/100)</f>
        <v/>
      </c>
      <c r="H878" s="18" t="n"/>
      <c r="I878" s="35">
        <f>IF($E878="","",$E878*$H878/100)</f>
        <v/>
      </c>
      <c r="J878" s="35">
        <f>IF($E878="","",$E878+$G878-$I878)</f>
        <v/>
      </c>
      <c r="K878" s="16" t="n"/>
      <c r="L878" s="20">
        <f>IF($A878="","",ROUNDUP(MONTH($A878)/3,0))</f>
        <v/>
      </c>
    </row>
    <row r="879">
      <c r="A879" s="33" t="n"/>
      <c r="B879" s="16" t="n"/>
      <c r="C879" s="16" t="n"/>
      <c r="D879" s="16" t="n"/>
      <c r="E879" s="34" t="n"/>
      <c r="F879" s="18" t="n"/>
      <c r="G879" s="35">
        <f>IF($E879="","",$E879*$F879/100)</f>
        <v/>
      </c>
      <c r="H879" s="18" t="n"/>
      <c r="I879" s="35">
        <f>IF($E879="","",$E879*$H879/100)</f>
        <v/>
      </c>
      <c r="J879" s="35">
        <f>IF($E879="","",$E879+$G879-$I879)</f>
        <v/>
      </c>
      <c r="K879" s="16" t="n"/>
      <c r="L879" s="20">
        <f>IF($A879="","",ROUNDUP(MONTH($A879)/3,0))</f>
        <v/>
      </c>
    </row>
    <row r="880">
      <c r="A880" s="33" t="n"/>
      <c r="B880" s="16" t="n"/>
      <c r="C880" s="16" t="n"/>
      <c r="D880" s="16" t="n"/>
      <c r="E880" s="34" t="n"/>
      <c r="F880" s="18" t="n"/>
      <c r="G880" s="35">
        <f>IF($E880="","",$E880*$F880/100)</f>
        <v/>
      </c>
      <c r="H880" s="18" t="n"/>
      <c r="I880" s="35">
        <f>IF($E880="","",$E880*$H880/100)</f>
        <v/>
      </c>
      <c r="J880" s="35">
        <f>IF($E880="","",$E880+$G880-$I880)</f>
        <v/>
      </c>
      <c r="K880" s="16" t="n"/>
      <c r="L880" s="20">
        <f>IF($A880="","",ROUNDUP(MONTH($A880)/3,0))</f>
        <v/>
      </c>
    </row>
    <row r="881">
      <c r="A881" s="33" t="n"/>
      <c r="B881" s="16" t="n"/>
      <c r="C881" s="16" t="n"/>
      <c r="D881" s="16" t="n"/>
      <c r="E881" s="34" t="n"/>
      <c r="F881" s="18" t="n"/>
      <c r="G881" s="35">
        <f>IF($E881="","",$E881*$F881/100)</f>
        <v/>
      </c>
      <c r="H881" s="18" t="n"/>
      <c r="I881" s="35">
        <f>IF($E881="","",$E881*$H881/100)</f>
        <v/>
      </c>
      <c r="J881" s="35">
        <f>IF($E881="","",$E881+$G881-$I881)</f>
        <v/>
      </c>
      <c r="K881" s="16" t="n"/>
      <c r="L881" s="20">
        <f>IF($A881="","",ROUNDUP(MONTH($A881)/3,0))</f>
        <v/>
      </c>
    </row>
    <row r="882">
      <c r="A882" s="33" t="n"/>
      <c r="B882" s="16" t="n"/>
      <c r="C882" s="16" t="n"/>
      <c r="D882" s="16" t="n"/>
      <c r="E882" s="34" t="n"/>
      <c r="F882" s="18" t="n"/>
      <c r="G882" s="35">
        <f>IF($E882="","",$E882*$F882/100)</f>
        <v/>
      </c>
      <c r="H882" s="18" t="n"/>
      <c r="I882" s="35">
        <f>IF($E882="","",$E882*$H882/100)</f>
        <v/>
      </c>
      <c r="J882" s="35">
        <f>IF($E882="","",$E882+$G882-$I882)</f>
        <v/>
      </c>
      <c r="K882" s="16" t="n"/>
      <c r="L882" s="20">
        <f>IF($A882="","",ROUNDUP(MONTH($A882)/3,0))</f>
        <v/>
      </c>
    </row>
    <row r="883">
      <c r="A883" s="33" t="n"/>
      <c r="B883" s="16" t="n"/>
      <c r="C883" s="16" t="n"/>
      <c r="D883" s="16" t="n"/>
      <c r="E883" s="34" t="n"/>
      <c r="F883" s="18" t="n"/>
      <c r="G883" s="35">
        <f>IF($E883="","",$E883*$F883/100)</f>
        <v/>
      </c>
      <c r="H883" s="18" t="n"/>
      <c r="I883" s="35">
        <f>IF($E883="","",$E883*$H883/100)</f>
        <v/>
      </c>
      <c r="J883" s="35">
        <f>IF($E883="","",$E883+$G883-$I883)</f>
        <v/>
      </c>
      <c r="K883" s="16" t="n"/>
      <c r="L883" s="20">
        <f>IF($A883="","",ROUNDUP(MONTH($A883)/3,0))</f>
        <v/>
      </c>
    </row>
    <row r="884">
      <c r="A884" s="33" t="n"/>
      <c r="B884" s="16" t="n"/>
      <c r="C884" s="16" t="n"/>
      <c r="D884" s="16" t="n"/>
      <c r="E884" s="34" t="n"/>
      <c r="F884" s="18" t="n"/>
      <c r="G884" s="35">
        <f>IF($E884="","",$E884*$F884/100)</f>
        <v/>
      </c>
      <c r="H884" s="18" t="n"/>
      <c r="I884" s="35">
        <f>IF($E884="","",$E884*$H884/100)</f>
        <v/>
      </c>
      <c r="J884" s="35">
        <f>IF($E884="","",$E884+$G884-$I884)</f>
        <v/>
      </c>
      <c r="K884" s="16" t="n"/>
      <c r="L884" s="20">
        <f>IF($A884="","",ROUNDUP(MONTH($A884)/3,0))</f>
        <v/>
      </c>
    </row>
    <row r="885">
      <c r="A885" s="33" t="n"/>
      <c r="B885" s="16" t="n"/>
      <c r="C885" s="16" t="n"/>
      <c r="D885" s="16" t="n"/>
      <c r="E885" s="34" t="n"/>
      <c r="F885" s="18" t="n"/>
      <c r="G885" s="35">
        <f>IF($E885="","",$E885*$F885/100)</f>
        <v/>
      </c>
      <c r="H885" s="18" t="n"/>
      <c r="I885" s="35">
        <f>IF($E885="","",$E885*$H885/100)</f>
        <v/>
      </c>
      <c r="J885" s="35">
        <f>IF($E885="","",$E885+$G885-$I885)</f>
        <v/>
      </c>
      <c r="K885" s="16" t="n"/>
      <c r="L885" s="20">
        <f>IF($A885="","",ROUNDUP(MONTH($A885)/3,0))</f>
        <v/>
      </c>
    </row>
    <row r="886">
      <c r="A886" s="33" t="n"/>
      <c r="B886" s="16" t="n"/>
      <c r="C886" s="16" t="n"/>
      <c r="D886" s="16" t="n"/>
      <c r="E886" s="34" t="n"/>
      <c r="F886" s="18" t="n"/>
      <c r="G886" s="35">
        <f>IF($E886="","",$E886*$F886/100)</f>
        <v/>
      </c>
      <c r="H886" s="18" t="n"/>
      <c r="I886" s="35">
        <f>IF($E886="","",$E886*$H886/100)</f>
        <v/>
      </c>
      <c r="J886" s="35">
        <f>IF($E886="","",$E886+$G886-$I886)</f>
        <v/>
      </c>
      <c r="K886" s="16" t="n"/>
      <c r="L886" s="20">
        <f>IF($A886="","",ROUNDUP(MONTH($A886)/3,0))</f>
        <v/>
      </c>
    </row>
    <row r="887">
      <c r="A887" s="33" t="n"/>
      <c r="B887" s="16" t="n"/>
      <c r="C887" s="16" t="n"/>
      <c r="D887" s="16" t="n"/>
      <c r="E887" s="34" t="n"/>
      <c r="F887" s="18" t="n"/>
      <c r="G887" s="35">
        <f>IF($E887="","",$E887*$F887/100)</f>
        <v/>
      </c>
      <c r="H887" s="18" t="n"/>
      <c r="I887" s="35">
        <f>IF($E887="","",$E887*$H887/100)</f>
        <v/>
      </c>
      <c r="J887" s="35">
        <f>IF($E887="","",$E887+$G887-$I887)</f>
        <v/>
      </c>
      <c r="K887" s="16" t="n"/>
      <c r="L887" s="20">
        <f>IF($A887="","",ROUNDUP(MONTH($A887)/3,0))</f>
        <v/>
      </c>
    </row>
    <row r="888">
      <c r="A888" s="33" t="n"/>
      <c r="B888" s="16" t="n"/>
      <c r="C888" s="16" t="n"/>
      <c r="D888" s="16" t="n"/>
      <c r="E888" s="34" t="n"/>
      <c r="F888" s="18" t="n"/>
      <c r="G888" s="35">
        <f>IF($E888="","",$E888*$F888/100)</f>
        <v/>
      </c>
      <c r="H888" s="18" t="n"/>
      <c r="I888" s="35">
        <f>IF($E888="","",$E888*$H888/100)</f>
        <v/>
      </c>
      <c r="J888" s="35">
        <f>IF($E888="","",$E888+$G888-$I888)</f>
        <v/>
      </c>
      <c r="K888" s="16" t="n"/>
      <c r="L888" s="20">
        <f>IF($A888="","",ROUNDUP(MONTH($A888)/3,0))</f>
        <v/>
      </c>
    </row>
    <row r="889">
      <c r="A889" s="33" t="n"/>
      <c r="B889" s="16" t="n"/>
      <c r="C889" s="16" t="n"/>
      <c r="D889" s="16" t="n"/>
      <c r="E889" s="34" t="n"/>
      <c r="F889" s="18" t="n"/>
      <c r="G889" s="35">
        <f>IF($E889="","",$E889*$F889/100)</f>
        <v/>
      </c>
      <c r="H889" s="18" t="n"/>
      <c r="I889" s="35">
        <f>IF($E889="","",$E889*$H889/100)</f>
        <v/>
      </c>
      <c r="J889" s="35">
        <f>IF($E889="","",$E889+$G889-$I889)</f>
        <v/>
      </c>
      <c r="K889" s="16" t="n"/>
      <c r="L889" s="20">
        <f>IF($A889="","",ROUNDUP(MONTH($A889)/3,0))</f>
        <v/>
      </c>
    </row>
    <row r="890">
      <c r="A890" s="33" t="n"/>
      <c r="B890" s="16" t="n"/>
      <c r="C890" s="16" t="n"/>
      <c r="D890" s="16" t="n"/>
      <c r="E890" s="34" t="n"/>
      <c r="F890" s="18" t="n"/>
      <c r="G890" s="35">
        <f>IF($E890="","",$E890*$F890/100)</f>
        <v/>
      </c>
      <c r="H890" s="18" t="n"/>
      <c r="I890" s="35">
        <f>IF($E890="","",$E890*$H890/100)</f>
        <v/>
      </c>
      <c r="J890" s="35">
        <f>IF($E890="","",$E890+$G890-$I890)</f>
        <v/>
      </c>
      <c r="K890" s="16" t="n"/>
      <c r="L890" s="20">
        <f>IF($A890="","",ROUNDUP(MONTH($A890)/3,0))</f>
        <v/>
      </c>
    </row>
    <row r="891">
      <c r="A891" s="33" t="n"/>
      <c r="B891" s="16" t="n"/>
      <c r="C891" s="16" t="n"/>
      <c r="D891" s="16" t="n"/>
      <c r="E891" s="34" t="n"/>
      <c r="F891" s="18" t="n"/>
      <c r="G891" s="35">
        <f>IF($E891="","",$E891*$F891/100)</f>
        <v/>
      </c>
      <c r="H891" s="18" t="n"/>
      <c r="I891" s="35">
        <f>IF($E891="","",$E891*$H891/100)</f>
        <v/>
      </c>
      <c r="J891" s="35">
        <f>IF($E891="","",$E891+$G891-$I891)</f>
        <v/>
      </c>
      <c r="K891" s="16" t="n"/>
      <c r="L891" s="20">
        <f>IF($A891="","",ROUNDUP(MONTH($A891)/3,0))</f>
        <v/>
      </c>
    </row>
    <row r="892">
      <c r="A892" s="33" t="n"/>
      <c r="B892" s="16" t="n"/>
      <c r="C892" s="16" t="n"/>
      <c r="D892" s="16" t="n"/>
      <c r="E892" s="34" t="n"/>
      <c r="F892" s="18" t="n"/>
      <c r="G892" s="35">
        <f>IF($E892="","",$E892*$F892/100)</f>
        <v/>
      </c>
      <c r="H892" s="18" t="n"/>
      <c r="I892" s="35">
        <f>IF($E892="","",$E892*$H892/100)</f>
        <v/>
      </c>
      <c r="J892" s="35">
        <f>IF($E892="","",$E892+$G892-$I892)</f>
        <v/>
      </c>
      <c r="K892" s="16" t="n"/>
      <c r="L892" s="20">
        <f>IF($A892="","",ROUNDUP(MONTH($A892)/3,0))</f>
        <v/>
      </c>
    </row>
    <row r="893">
      <c r="A893" s="33" t="n"/>
      <c r="B893" s="16" t="n"/>
      <c r="C893" s="16" t="n"/>
      <c r="D893" s="16" t="n"/>
      <c r="E893" s="34" t="n"/>
      <c r="F893" s="18" t="n"/>
      <c r="G893" s="35">
        <f>IF($E893="","",$E893*$F893/100)</f>
        <v/>
      </c>
      <c r="H893" s="18" t="n"/>
      <c r="I893" s="35">
        <f>IF($E893="","",$E893*$H893/100)</f>
        <v/>
      </c>
      <c r="J893" s="35">
        <f>IF($E893="","",$E893+$G893-$I893)</f>
        <v/>
      </c>
      <c r="K893" s="16" t="n"/>
      <c r="L893" s="20">
        <f>IF($A893="","",ROUNDUP(MONTH($A893)/3,0))</f>
        <v/>
      </c>
    </row>
    <row r="894">
      <c r="A894" s="33" t="n"/>
      <c r="B894" s="16" t="n"/>
      <c r="C894" s="16" t="n"/>
      <c r="D894" s="16" t="n"/>
      <c r="E894" s="34" t="n"/>
      <c r="F894" s="18" t="n"/>
      <c r="G894" s="35">
        <f>IF($E894="","",$E894*$F894/100)</f>
        <v/>
      </c>
      <c r="H894" s="18" t="n"/>
      <c r="I894" s="35">
        <f>IF($E894="","",$E894*$H894/100)</f>
        <v/>
      </c>
      <c r="J894" s="35">
        <f>IF($E894="","",$E894+$G894-$I894)</f>
        <v/>
      </c>
      <c r="K894" s="16" t="n"/>
      <c r="L894" s="20">
        <f>IF($A894="","",ROUNDUP(MONTH($A894)/3,0))</f>
        <v/>
      </c>
    </row>
    <row r="895">
      <c r="A895" s="33" t="n"/>
      <c r="B895" s="16" t="n"/>
      <c r="C895" s="16" t="n"/>
      <c r="D895" s="16" t="n"/>
      <c r="E895" s="34" t="n"/>
      <c r="F895" s="18" t="n"/>
      <c r="G895" s="35">
        <f>IF($E895="","",$E895*$F895/100)</f>
        <v/>
      </c>
      <c r="H895" s="18" t="n"/>
      <c r="I895" s="35">
        <f>IF($E895="","",$E895*$H895/100)</f>
        <v/>
      </c>
      <c r="J895" s="35">
        <f>IF($E895="","",$E895+$G895-$I895)</f>
        <v/>
      </c>
      <c r="K895" s="16" t="n"/>
      <c r="L895" s="20">
        <f>IF($A895="","",ROUNDUP(MONTH($A895)/3,0))</f>
        <v/>
      </c>
    </row>
    <row r="896">
      <c r="A896" s="33" t="n"/>
      <c r="B896" s="16" t="n"/>
      <c r="C896" s="16" t="n"/>
      <c r="D896" s="16" t="n"/>
      <c r="E896" s="34" t="n"/>
      <c r="F896" s="18" t="n"/>
      <c r="G896" s="35">
        <f>IF($E896="","",$E896*$F896/100)</f>
        <v/>
      </c>
      <c r="H896" s="18" t="n"/>
      <c r="I896" s="35">
        <f>IF($E896="","",$E896*$H896/100)</f>
        <v/>
      </c>
      <c r="J896" s="35">
        <f>IF($E896="","",$E896+$G896-$I896)</f>
        <v/>
      </c>
      <c r="K896" s="16" t="n"/>
      <c r="L896" s="20">
        <f>IF($A896="","",ROUNDUP(MONTH($A896)/3,0))</f>
        <v/>
      </c>
    </row>
    <row r="897">
      <c r="A897" s="33" t="n"/>
      <c r="B897" s="16" t="n"/>
      <c r="C897" s="16" t="n"/>
      <c r="D897" s="16" t="n"/>
      <c r="E897" s="34" t="n"/>
      <c r="F897" s="18" t="n"/>
      <c r="G897" s="35">
        <f>IF($E897="","",$E897*$F897/100)</f>
        <v/>
      </c>
      <c r="H897" s="18" t="n"/>
      <c r="I897" s="35">
        <f>IF($E897="","",$E897*$H897/100)</f>
        <v/>
      </c>
      <c r="J897" s="35">
        <f>IF($E897="","",$E897+$G897-$I897)</f>
        <v/>
      </c>
      <c r="K897" s="16" t="n"/>
      <c r="L897" s="20">
        <f>IF($A897="","",ROUNDUP(MONTH($A897)/3,0))</f>
        <v/>
      </c>
    </row>
    <row r="898">
      <c r="A898" s="33" t="n"/>
      <c r="B898" s="16" t="n"/>
      <c r="C898" s="16" t="n"/>
      <c r="D898" s="16" t="n"/>
      <c r="E898" s="34" t="n"/>
      <c r="F898" s="18" t="n"/>
      <c r="G898" s="35">
        <f>IF($E898="","",$E898*$F898/100)</f>
        <v/>
      </c>
      <c r="H898" s="18" t="n"/>
      <c r="I898" s="35">
        <f>IF($E898="","",$E898*$H898/100)</f>
        <v/>
      </c>
      <c r="J898" s="35">
        <f>IF($E898="","",$E898+$G898-$I898)</f>
        <v/>
      </c>
      <c r="K898" s="16" t="n"/>
      <c r="L898" s="20">
        <f>IF($A898="","",ROUNDUP(MONTH($A898)/3,0))</f>
        <v/>
      </c>
    </row>
    <row r="899">
      <c r="A899" s="33" t="n"/>
      <c r="B899" s="16" t="n"/>
      <c r="C899" s="16" t="n"/>
      <c r="D899" s="16" t="n"/>
      <c r="E899" s="34" t="n"/>
      <c r="F899" s="18" t="n"/>
      <c r="G899" s="35">
        <f>IF($E899="","",$E899*$F899/100)</f>
        <v/>
      </c>
      <c r="H899" s="18" t="n"/>
      <c r="I899" s="35">
        <f>IF($E899="","",$E899*$H899/100)</f>
        <v/>
      </c>
      <c r="J899" s="35">
        <f>IF($E899="","",$E899+$G899-$I899)</f>
        <v/>
      </c>
      <c r="K899" s="16" t="n"/>
      <c r="L899" s="20">
        <f>IF($A899="","",ROUNDUP(MONTH($A899)/3,0))</f>
        <v/>
      </c>
    </row>
    <row r="900">
      <c r="A900" s="33" t="n"/>
      <c r="B900" s="16" t="n"/>
      <c r="C900" s="16" t="n"/>
      <c r="D900" s="16" t="n"/>
      <c r="E900" s="34" t="n"/>
      <c r="F900" s="18" t="n"/>
      <c r="G900" s="35">
        <f>IF($E900="","",$E900*$F900/100)</f>
        <v/>
      </c>
      <c r="H900" s="18" t="n"/>
      <c r="I900" s="35">
        <f>IF($E900="","",$E900*$H900/100)</f>
        <v/>
      </c>
      <c r="J900" s="35">
        <f>IF($E900="","",$E900+$G900-$I900)</f>
        <v/>
      </c>
      <c r="K900" s="16" t="n"/>
      <c r="L900" s="20">
        <f>IF($A900="","",ROUNDUP(MONTH($A900)/3,0))</f>
        <v/>
      </c>
    </row>
    <row r="901">
      <c r="A901" s="33" t="n"/>
      <c r="B901" s="16" t="n"/>
      <c r="C901" s="16" t="n"/>
      <c r="D901" s="16" t="n"/>
      <c r="E901" s="34" t="n"/>
      <c r="F901" s="18" t="n"/>
      <c r="G901" s="35">
        <f>IF($E901="","",$E901*$F901/100)</f>
        <v/>
      </c>
      <c r="H901" s="18" t="n"/>
      <c r="I901" s="35">
        <f>IF($E901="","",$E901*$H901/100)</f>
        <v/>
      </c>
      <c r="J901" s="35">
        <f>IF($E901="","",$E901+$G901-$I901)</f>
        <v/>
      </c>
      <c r="K901" s="16" t="n"/>
      <c r="L901" s="20">
        <f>IF($A901="","",ROUNDUP(MONTH($A901)/3,0))</f>
        <v/>
      </c>
    </row>
    <row r="902">
      <c r="A902" s="33" t="n"/>
      <c r="B902" s="16" t="n"/>
      <c r="C902" s="16" t="n"/>
      <c r="D902" s="16" t="n"/>
      <c r="E902" s="34" t="n"/>
      <c r="F902" s="18" t="n"/>
      <c r="G902" s="35">
        <f>IF($E902="","",$E902*$F902/100)</f>
        <v/>
      </c>
      <c r="H902" s="18" t="n"/>
      <c r="I902" s="35">
        <f>IF($E902="","",$E902*$H902/100)</f>
        <v/>
      </c>
      <c r="J902" s="35">
        <f>IF($E902="","",$E902+$G902-$I902)</f>
        <v/>
      </c>
      <c r="K902" s="16" t="n"/>
      <c r="L902" s="20">
        <f>IF($A902="","",ROUNDUP(MONTH($A902)/3,0))</f>
        <v/>
      </c>
    </row>
    <row r="903">
      <c r="A903" s="33" t="n"/>
      <c r="B903" s="16" t="n"/>
      <c r="C903" s="16" t="n"/>
      <c r="D903" s="16" t="n"/>
      <c r="E903" s="34" t="n"/>
      <c r="F903" s="18" t="n"/>
      <c r="G903" s="35">
        <f>IF($E903="","",$E903*$F903/100)</f>
        <v/>
      </c>
      <c r="H903" s="18" t="n"/>
      <c r="I903" s="35">
        <f>IF($E903="","",$E903*$H903/100)</f>
        <v/>
      </c>
      <c r="J903" s="35">
        <f>IF($E903="","",$E903+$G903-$I903)</f>
        <v/>
      </c>
      <c r="K903" s="16" t="n"/>
      <c r="L903" s="20">
        <f>IF($A903="","",ROUNDUP(MONTH($A903)/3,0))</f>
        <v/>
      </c>
    </row>
    <row r="904">
      <c r="A904" s="33" t="n"/>
      <c r="B904" s="16" t="n"/>
      <c r="C904" s="16" t="n"/>
      <c r="D904" s="16" t="n"/>
      <c r="E904" s="34" t="n"/>
      <c r="F904" s="18" t="n"/>
      <c r="G904" s="35">
        <f>IF($E904="","",$E904*$F904/100)</f>
        <v/>
      </c>
      <c r="H904" s="18" t="n"/>
      <c r="I904" s="35">
        <f>IF($E904="","",$E904*$H904/100)</f>
        <v/>
      </c>
      <c r="J904" s="35">
        <f>IF($E904="","",$E904+$G904-$I904)</f>
        <v/>
      </c>
      <c r="K904" s="16" t="n"/>
      <c r="L904" s="20">
        <f>IF($A904="","",ROUNDUP(MONTH($A904)/3,0))</f>
        <v/>
      </c>
    </row>
    <row r="905">
      <c r="A905" s="33" t="n"/>
      <c r="B905" s="16" t="n"/>
      <c r="C905" s="16" t="n"/>
      <c r="D905" s="16" t="n"/>
      <c r="E905" s="34" t="n"/>
      <c r="F905" s="18" t="n"/>
      <c r="G905" s="35">
        <f>IF($E905="","",$E905*$F905/100)</f>
        <v/>
      </c>
      <c r="H905" s="18" t="n"/>
      <c r="I905" s="35">
        <f>IF($E905="","",$E905*$H905/100)</f>
        <v/>
      </c>
      <c r="J905" s="35">
        <f>IF($E905="","",$E905+$G905-$I905)</f>
        <v/>
      </c>
      <c r="K905" s="16" t="n"/>
      <c r="L905" s="20">
        <f>IF($A905="","",ROUNDUP(MONTH($A905)/3,0))</f>
        <v/>
      </c>
    </row>
    <row r="906">
      <c r="A906" s="33" t="n"/>
      <c r="B906" s="16" t="n"/>
      <c r="C906" s="16" t="n"/>
      <c r="D906" s="16" t="n"/>
      <c r="E906" s="34" t="n"/>
      <c r="F906" s="18" t="n"/>
      <c r="G906" s="35">
        <f>IF($E906="","",$E906*$F906/100)</f>
        <v/>
      </c>
      <c r="H906" s="18" t="n"/>
      <c r="I906" s="35">
        <f>IF($E906="","",$E906*$H906/100)</f>
        <v/>
      </c>
      <c r="J906" s="35">
        <f>IF($E906="","",$E906+$G906-$I906)</f>
        <v/>
      </c>
      <c r="K906" s="16" t="n"/>
      <c r="L906" s="20">
        <f>IF($A906="","",ROUNDUP(MONTH($A906)/3,0))</f>
        <v/>
      </c>
    </row>
    <row r="907">
      <c r="A907" s="33" t="n"/>
      <c r="B907" s="16" t="n"/>
      <c r="C907" s="16" t="n"/>
      <c r="D907" s="16" t="n"/>
      <c r="E907" s="34" t="n"/>
      <c r="F907" s="18" t="n"/>
      <c r="G907" s="35">
        <f>IF($E907="","",$E907*$F907/100)</f>
        <v/>
      </c>
      <c r="H907" s="18" t="n"/>
      <c r="I907" s="35">
        <f>IF($E907="","",$E907*$H907/100)</f>
        <v/>
      </c>
      <c r="J907" s="35">
        <f>IF($E907="","",$E907+$G907-$I907)</f>
        <v/>
      </c>
      <c r="K907" s="16" t="n"/>
      <c r="L907" s="20">
        <f>IF($A907="","",ROUNDUP(MONTH($A907)/3,0))</f>
        <v/>
      </c>
    </row>
    <row r="908">
      <c r="A908" s="33" t="n"/>
      <c r="B908" s="16" t="n"/>
      <c r="C908" s="16" t="n"/>
      <c r="D908" s="16" t="n"/>
      <c r="E908" s="34" t="n"/>
      <c r="F908" s="18" t="n"/>
      <c r="G908" s="35">
        <f>IF($E908="","",$E908*$F908/100)</f>
        <v/>
      </c>
      <c r="H908" s="18" t="n"/>
      <c r="I908" s="35">
        <f>IF($E908="","",$E908*$H908/100)</f>
        <v/>
      </c>
      <c r="J908" s="35">
        <f>IF($E908="","",$E908+$G908-$I908)</f>
        <v/>
      </c>
      <c r="K908" s="16" t="n"/>
      <c r="L908" s="20">
        <f>IF($A908="","",ROUNDUP(MONTH($A908)/3,0))</f>
        <v/>
      </c>
    </row>
    <row r="909">
      <c r="A909" s="33" t="n"/>
      <c r="B909" s="16" t="n"/>
      <c r="C909" s="16" t="n"/>
      <c r="D909" s="16" t="n"/>
      <c r="E909" s="34" t="n"/>
      <c r="F909" s="18" t="n"/>
      <c r="G909" s="35">
        <f>IF($E909="","",$E909*$F909/100)</f>
        <v/>
      </c>
      <c r="H909" s="18" t="n"/>
      <c r="I909" s="35">
        <f>IF($E909="","",$E909*$H909/100)</f>
        <v/>
      </c>
      <c r="J909" s="35">
        <f>IF($E909="","",$E909+$G909-$I909)</f>
        <v/>
      </c>
      <c r="K909" s="16" t="n"/>
      <c r="L909" s="20">
        <f>IF($A909="","",ROUNDUP(MONTH($A909)/3,0))</f>
        <v/>
      </c>
    </row>
    <row r="910">
      <c r="A910" s="33" t="n"/>
      <c r="B910" s="16" t="n"/>
      <c r="C910" s="16" t="n"/>
      <c r="D910" s="16" t="n"/>
      <c r="E910" s="34" t="n"/>
      <c r="F910" s="18" t="n"/>
      <c r="G910" s="35">
        <f>IF($E910="","",$E910*$F910/100)</f>
        <v/>
      </c>
      <c r="H910" s="18" t="n"/>
      <c r="I910" s="35">
        <f>IF($E910="","",$E910*$H910/100)</f>
        <v/>
      </c>
      <c r="J910" s="35">
        <f>IF($E910="","",$E910+$G910-$I910)</f>
        <v/>
      </c>
      <c r="K910" s="16" t="n"/>
      <c r="L910" s="20">
        <f>IF($A910="","",ROUNDUP(MONTH($A910)/3,0))</f>
        <v/>
      </c>
    </row>
    <row r="911">
      <c r="A911" s="33" t="n"/>
      <c r="B911" s="16" t="n"/>
      <c r="C911" s="16" t="n"/>
      <c r="D911" s="16" t="n"/>
      <c r="E911" s="34" t="n"/>
      <c r="F911" s="18" t="n"/>
      <c r="G911" s="35">
        <f>IF($E911="","",$E911*$F911/100)</f>
        <v/>
      </c>
      <c r="H911" s="18" t="n"/>
      <c r="I911" s="35">
        <f>IF($E911="","",$E911*$H911/100)</f>
        <v/>
      </c>
      <c r="J911" s="35">
        <f>IF($E911="","",$E911+$G911-$I911)</f>
        <v/>
      </c>
      <c r="K911" s="16" t="n"/>
      <c r="L911" s="20">
        <f>IF($A911="","",ROUNDUP(MONTH($A911)/3,0))</f>
        <v/>
      </c>
    </row>
    <row r="912">
      <c r="A912" s="33" t="n"/>
      <c r="B912" s="16" t="n"/>
      <c r="C912" s="16" t="n"/>
      <c r="D912" s="16" t="n"/>
      <c r="E912" s="34" t="n"/>
      <c r="F912" s="18" t="n"/>
      <c r="G912" s="35">
        <f>IF($E912="","",$E912*$F912/100)</f>
        <v/>
      </c>
      <c r="H912" s="18" t="n"/>
      <c r="I912" s="35">
        <f>IF($E912="","",$E912*$H912/100)</f>
        <v/>
      </c>
      <c r="J912" s="35">
        <f>IF($E912="","",$E912+$G912-$I912)</f>
        <v/>
      </c>
      <c r="K912" s="16" t="n"/>
      <c r="L912" s="20">
        <f>IF($A912="","",ROUNDUP(MONTH($A912)/3,0))</f>
        <v/>
      </c>
    </row>
    <row r="913">
      <c r="A913" s="33" t="n"/>
      <c r="B913" s="16" t="n"/>
      <c r="C913" s="16" t="n"/>
      <c r="D913" s="16" t="n"/>
      <c r="E913" s="34" t="n"/>
      <c r="F913" s="18" t="n"/>
      <c r="G913" s="35">
        <f>IF($E913="","",$E913*$F913/100)</f>
        <v/>
      </c>
      <c r="H913" s="18" t="n"/>
      <c r="I913" s="35">
        <f>IF($E913="","",$E913*$H913/100)</f>
        <v/>
      </c>
      <c r="J913" s="35">
        <f>IF($E913="","",$E913+$G913-$I913)</f>
        <v/>
      </c>
      <c r="K913" s="16" t="n"/>
      <c r="L913" s="20">
        <f>IF($A913="","",ROUNDUP(MONTH($A913)/3,0))</f>
        <v/>
      </c>
    </row>
    <row r="914">
      <c r="A914" s="33" t="n"/>
      <c r="B914" s="16" t="n"/>
      <c r="C914" s="16" t="n"/>
      <c r="D914" s="16" t="n"/>
      <c r="E914" s="34" t="n"/>
      <c r="F914" s="18" t="n"/>
      <c r="G914" s="35">
        <f>IF($E914="","",$E914*$F914/100)</f>
        <v/>
      </c>
      <c r="H914" s="18" t="n"/>
      <c r="I914" s="35">
        <f>IF($E914="","",$E914*$H914/100)</f>
        <v/>
      </c>
      <c r="J914" s="35">
        <f>IF($E914="","",$E914+$G914-$I914)</f>
        <v/>
      </c>
      <c r="K914" s="16" t="n"/>
      <c r="L914" s="20">
        <f>IF($A914="","",ROUNDUP(MONTH($A914)/3,0))</f>
        <v/>
      </c>
    </row>
    <row r="915">
      <c r="A915" s="33" t="n"/>
      <c r="B915" s="16" t="n"/>
      <c r="C915" s="16" t="n"/>
      <c r="D915" s="16" t="n"/>
      <c r="E915" s="34" t="n"/>
      <c r="F915" s="18" t="n"/>
      <c r="G915" s="35">
        <f>IF($E915="","",$E915*$F915/100)</f>
        <v/>
      </c>
      <c r="H915" s="18" t="n"/>
      <c r="I915" s="35">
        <f>IF($E915="","",$E915*$H915/100)</f>
        <v/>
      </c>
      <c r="J915" s="35">
        <f>IF($E915="","",$E915+$G915-$I915)</f>
        <v/>
      </c>
      <c r="K915" s="16" t="n"/>
      <c r="L915" s="20">
        <f>IF($A915="","",ROUNDUP(MONTH($A915)/3,0))</f>
        <v/>
      </c>
    </row>
    <row r="916">
      <c r="A916" s="33" t="n"/>
      <c r="B916" s="16" t="n"/>
      <c r="C916" s="16" t="n"/>
      <c r="D916" s="16" t="n"/>
      <c r="E916" s="34" t="n"/>
      <c r="F916" s="18" t="n"/>
      <c r="G916" s="35">
        <f>IF($E916="","",$E916*$F916/100)</f>
        <v/>
      </c>
      <c r="H916" s="18" t="n"/>
      <c r="I916" s="35">
        <f>IF($E916="","",$E916*$H916/100)</f>
        <v/>
      </c>
      <c r="J916" s="35">
        <f>IF($E916="","",$E916+$G916-$I916)</f>
        <v/>
      </c>
      <c r="K916" s="16" t="n"/>
      <c r="L916" s="20">
        <f>IF($A916="","",ROUNDUP(MONTH($A916)/3,0))</f>
        <v/>
      </c>
    </row>
    <row r="917">
      <c r="A917" s="33" t="n"/>
      <c r="B917" s="16" t="n"/>
      <c r="C917" s="16" t="n"/>
      <c r="D917" s="16" t="n"/>
      <c r="E917" s="34" t="n"/>
      <c r="F917" s="18" t="n"/>
      <c r="G917" s="35">
        <f>IF($E917="","",$E917*$F917/100)</f>
        <v/>
      </c>
      <c r="H917" s="18" t="n"/>
      <c r="I917" s="35">
        <f>IF($E917="","",$E917*$H917/100)</f>
        <v/>
      </c>
      <c r="J917" s="35">
        <f>IF($E917="","",$E917+$G917-$I917)</f>
        <v/>
      </c>
      <c r="K917" s="16" t="n"/>
      <c r="L917" s="20">
        <f>IF($A917="","",ROUNDUP(MONTH($A917)/3,0))</f>
        <v/>
      </c>
    </row>
    <row r="918">
      <c r="A918" s="33" t="n"/>
      <c r="B918" s="16" t="n"/>
      <c r="C918" s="16" t="n"/>
      <c r="D918" s="16" t="n"/>
      <c r="E918" s="34" t="n"/>
      <c r="F918" s="18" t="n"/>
      <c r="G918" s="35">
        <f>IF($E918="","",$E918*$F918/100)</f>
        <v/>
      </c>
      <c r="H918" s="18" t="n"/>
      <c r="I918" s="35">
        <f>IF($E918="","",$E918*$H918/100)</f>
        <v/>
      </c>
      <c r="J918" s="35">
        <f>IF($E918="","",$E918+$G918-$I918)</f>
        <v/>
      </c>
      <c r="K918" s="16" t="n"/>
      <c r="L918" s="20">
        <f>IF($A918="","",ROUNDUP(MONTH($A918)/3,0))</f>
        <v/>
      </c>
    </row>
    <row r="919">
      <c r="A919" s="33" t="n"/>
      <c r="B919" s="16" t="n"/>
      <c r="C919" s="16" t="n"/>
      <c r="D919" s="16" t="n"/>
      <c r="E919" s="34" t="n"/>
      <c r="F919" s="18" t="n"/>
      <c r="G919" s="35">
        <f>IF($E919="","",$E919*$F919/100)</f>
        <v/>
      </c>
      <c r="H919" s="18" t="n"/>
      <c r="I919" s="35">
        <f>IF($E919="","",$E919*$H919/100)</f>
        <v/>
      </c>
      <c r="J919" s="35">
        <f>IF($E919="","",$E919+$G919-$I919)</f>
        <v/>
      </c>
      <c r="K919" s="16" t="n"/>
      <c r="L919" s="20">
        <f>IF($A919="","",ROUNDUP(MONTH($A919)/3,0))</f>
        <v/>
      </c>
    </row>
    <row r="920">
      <c r="A920" s="33" t="n"/>
      <c r="B920" s="16" t="n"/>
      <c r="C920" s="16" t="n"/>
      <c r="D920" s="16" t="n"/>
      <c r="E920" s="34" t="n"/>
      <c r="F920" s="18" t="n"/>
      <c r="G920" s="35">
        <f>IF($E920="","",$E920*$F920/100)</f>
        <v/>
      </c>
      <c r="H920" s="18" t="n"/>
      <c r="I920" s="35">
        <f>IF($E920="","",$E920*$H920/100)</f>
        <v/>
      </c>
      <c r="J920" s="35">
        <f>IF($E920="","",$E920+$G920-$I920)</f>
        <v/>
      </c>
      <c r="K920" s="16" t="n"/>
      <c r="L920" s="20">
        <f>IF($A920="","",ROUNDUP(MONTH($A920)/3,0))</f>
        <v/>
      </c>
    </row>
    <row r="921">
      <c r="A921" s="33" t="n"/>
      <c r="B921" s="16" t="n"/>
      <c r="C921" s="16" t="n"/>
      <c r="D921" s="16" t="n"/>
      <c r="E921" s="34" t="n"/>
      <c r="F921" s="18" t="n"/>
      <c r="G921" s="35">
        <f>IF($E921="","",$E921*$F921/100)</f>
        <v/>
      </c>
      <c r="H921" s="18" t="n"/>
      <c r="I921" s="35">
        <f>IF($E921="","",$E921*$H921/100)</f>
        <v/>
      </c>
      <c r="J921" s="35">
        <f>IF($E921="","",$E921+$G921-$I921)</f>
        <v/>
      </c>
      <c r="K921" s="16" t="n"/>
      <c r="L921" s="20">
        <f>IF($A921="","",ROUNDUP(MONTH($A921)/3,0))</f>
        <v/>
      </c>
    </row>
    <row r="922">
      <c r="A922" s="33" t="n"/>
      <c r="B922" s="16" t="n"/>
      <c r="C922" s="16" t="n"/>
      <c r="D922" s="16" t="n"/>
      <c r="E922" s="34" t="n"/>
      <c r="F922" s="18" t="n"/>
      <c r="G922" s="35">
        <f>IF($E922="","",$E922*$F922/100)</f>
        <v/>
      </c>
      <c r="H922" s="18" t="n"/>
      <c r="I922" s="35">
        <f>IF($E922="","",$E922*$H922/100)</f>
        <v/>
      </c>
      <c r="J922" s="35">
        <f>IF($E922="","",$E922+$G922-$I922)</f>
        <v/>
      </c>
      <c r="K922" s="16" t="n"/>
      <c r="L922" s="20">
        <f>IF($A922="","",ROUNDUP(MONTH($A922)/3,0))</f>
        <v/>
      </c>
    </row>
    <row r="923">
      <c r="A923" s="33" t="n"/>
      <c r="B923" s="16" t="n"/>
      <c r="C923" s="16" t="n"/>
      <c r="D923" s="16" t="n"/>
      <c r="E923" s="34" t="n"/>
      <c r="F923" s="18" t="n"/>
      <c r="G923" s="35">
        <f>IF($E923="","",$E923*$F923/100)</f>
        <v/>
      </c>
      <c r="H923" s="18" t="n"/>
      <c r="I923" s="35">
        <f>IF($E923="","",$E923*$H923/100)</f>
        <v/>
      </c>
      <c r="J923" s="35">
        <f>IF($E923="","",$E923+$G923-$I923)</f>
        <v/>
      </c>
      <c r="K923" s="16" t="n"/>
      <c r="L923" s="20">
        <f>IF($A923="","",ROUNDUP(MONTH($A923)/3,0))</f>
        <v/>
      </c>
    </row>
    <row r="924">
      <c r="A924" s="33" t="n"/>
      <c r="B924" s="16" t="n"/>
      <c r="C924" s="16" t="n"/>
      <c r="D924" s="16" t="n"/>
      <c r="E924" s="34" t="n"/>
      <c r="F924" s="18" t="n"/>
      <c r="G924" s="35">
        <f>IF($E924="","",$E924*$F924/100)</f>
        <v/>
      </c>
      <c r="H924" s="18" t="n"/>
      <c r="I924" s="35">
        <f>IF($E924="","",$E924*$H924/100)</f>
        <v/>
      </c>
      <c r="J924" s="35">
        <f>IF($E924="","",$E924+$G924-$I924)</f>
        <v/>
      </c>
      <c r="K924" s="16" t="n"/>
      <c r="L924" s="20">
        <f>IF($A924="","",ROUNDUP(MONTH($A924)/3,0))</f>
        <v/>
      </c>
    </row>
    <row r="925">
      <c r="A925" s="33" t="n"/>
      <c r="B925" s="16" t="n"/>
      <c r="C925" s="16" t="n"/>
      <c r="D925" s="16" t="n"/>
      <c r="E925" s="34" t="n"/>
      <c r="F925" s="18" t="n"/>
      <c r="G925" s="35">
        <f>IF($E925="","",$E925*$F925/100)</f>
        <v/>
      </c>
      <c r="H925" s="18" t="n"/>
      <c r="I925" s="35">
        <f>IF($E925="","",$E925*$H925/100)</f>
        <v/>
      </c>
      <c r="J925" s="35">
        <f>IF($E925="","",$E925+$G925-$I925)</f>
        <v/>
      </c>
      <c r="K925" s="16" t="n"/>
      <c r="L925" s="20">
        <f>IF($A925="","",ROUNDUP(MONTH($A925)/3,0))</f>
        <v/>
      </c>
    </row>
    <row r="926">
      <c r="A926" s="33" t="n"/>
      <c r="B926" s="16" t="n"/>
      <c r="C926" s="16" t="n"/>
      <c r="D926" s="16" t="n"/>
      <c r="E926" s="34" t="n"/>
      <c r="F926" s="18" t="n"/>
      <c r="G926" s="35">
        <f>IF($E926="","",$E926*$F926/100)</f>
        <v/>
      </c>
      <c r="H926" s="18" t="n"/>
      <c r="I926" s="35">
        <f>IF($E926="","",$E926*$H926/100)</f>
        <v/>
      </c>
      <c r="J926" s="35">
        <f>IF($E926="","",$E926+$G926-$I926)</f>
        <v/>
      </c>
      <c r="K926" s="16" t="n"/>
      <c r="L926" s="20">
        <f>IF($A926="","",ROUNDUP(MONTH($A926)/3,0))</f>
        <v/>
      </c>
    </row>
    <row r="927">
      <c r="A927" s="33" t="n"/>
      <c r="B927" s="16" t="n"/>
      <c r="C927" s="16" t="n"/>
      <c r="D927" s="16" t="n"/>
      <c r="E927" s="34" t="n"/>
      <c r="F927" s="18" t="n"/>
      <c r="G927" s="35">
        <f>IF($E927="","",$E927*$F927/100)</f>
        <v/>
      </c>
      <c r="H927" s="18" t="n"/>
      <c r="I927" s="35">
        <f>IF($E927="","",$E927*$H927/100)</f>
        <v/>
      </c>
      <c r="J927" s="35">
        <f>IF($E927="","",$E927+$G927-$I927)</f>
        <v/>
      </c>
      <c r="K927" s="16" t="n"/>
      <c r="L927" s="20">
        <f>IF($A927="","",ROUNDUP(MONTH($A927)/3,0))</f>
        <v/>
      </c>
    </row>
    <row r="928">
      <c r="A928" s="33" t="n"/>
      <c r="B928" s="16" t="n"/>
      <c r="C928" s="16" t="n"/>
      <c r="D928" s="16" t="n"/>
      <c r="E928" s="34" t="n"/>
      <c r="F928" s="18" t="n"/>
      <c r="G928" s="35">
        <f>IF($E928="","",$E928*$F928/100)</f>
        <v/>
      </c>
      <c r="H928" s="18" t="n"/>
      <c r="I928" s="35">
        <f>IF($E928="","",$E928*$H928/100)</f>
        <v/>
      </c>
      <c r="J928" s="35">
        <f>IF($E928="","",$E928+$G928-$I928)</f>
        <v/>
      </c>
      <c r="K928" s="16" t="n"/>
      <c r="L928" s="20">
        <f>IF($A928="","",ROUNDUP(MONTH($A928)/3,0))</f>
        <v/>
      </c>
    </row>
    <row r="929">
      <c r="A929" s="33" t="n"/>
      <c r="B929" s="16" t="n"/>
      <c r="C929" s="16" t="n"/>
      <c r="D929" s="16" t="n"/>
      <c r="E929" s="34" t="n"/>
      <c r="F929" s="18" t="n"/>
      <c r="G929" s="35">
        <f>IF($E929="","",$E929*$F929/100)</f>
        <v/>
      </c>
      <c r="H929" s="18" t="n"/>
      <c r="I929" s="35">
        <f>IF($E929="","",$E929*$H929/100)</f>
        <v/>
      </c>
      <c r="J929" s="35">
        <f>IF($E929="","",$E929+$G929-$I929)</f>
        <v/>
      </c>
      <c r="K929" s="16" t="n"/>
      <c r="L929" s="20">
        <f>IF($A929="","",ROUNDUP(MONTH($A929)/3,0))</f>
        <v/>
      </c>
    </row>
    <row r="930">
      <c r="A930" s="33" t="n"/>
      <c r="B930" s="16" t="n"/>
      <c r="C930" s="16" t="n"/>
      <c r="D930" s="16" t="n"/>
      <c r="E930" s="34" t="n"/>
      <c r="F930" s="18" t="n"/>
      <c r="G930" s="35">
        <f>IF($E930="","",$E930*$F930/100)</f>
        <v/>
      </c>
      <c r="H930" s="18" t="n"/>
      <c r="I930" s="35">
        <f>IF($E930="","",$E930*$H930/100)</f>
        <v/>
      </c>
      <c r="J930" s="35">
        <f>IF($E930="","",$E930+$G930-$I930)</f>
        <v/>
      </c>
      <c r="K930" s="16" t="n"/>
      <c r="L930" s="20">
        <f>IF($A930="","",ROUNDUP(MONTH($A930)/3,0))</f>
        <v/>
      </c>
    </row>
    <row r="931">
      <c r="A931" s="33" t="n"/>
      <c r="B931" s="16" t="n"/>
      <c r="C931" s="16" t="n"/>
      <c r="D931" s="16" t="n"/>
      <c r="E931" s="34" t="n"/>
      <c r="F931" s="18" t="n"/>
      <c r="G931" s="35">
        <f>IF($E931="","",$E931*$F931/100)</f>
        <v/>
      </c>
      <c r="H931" s="18" t="n"/>
      <c r="I931" s="35">
        <f>IF($E931="","",$E931*$H931/100)</f>
        <v/>
      </c>
      <c r="J931" s="35">
        <f>IF($E931="","",$E931+$G931-$I931)</f>
        <v/>
      </c>
      <c r="K931" s="16" t="n"/>
      <c r="L931" s="20">
        <f>IF($A931="","",ROUNDUP(MONTH($A931)/3,0))</f>
        <v/>
      </c>
    </row>
    <row r="932">
      <c r="A932" s="33" t="n"/>
      <c r="B932" s="16" t="n"/>
      <c r="C932" s="16" t="n"/>
      <c r="D932" s="16" t="n"/>
      <c r="E932" s="34" t="n"/>
      <c r="F932" s="18" t="n"/>
      <c r="G932" s="35">
        <f>IF($E932="","",$E932*$F932/100)</f>
        <v/>
      </c>
      <c r="H932" s="18" t="n"/>
      <c r="I932" s="35">
        <f>IF($E932="","",$E932*$H932/100)</f>
        <v/>
      </c>
      <c r="J932" s="35">
        <f>IF($E932="","",$E932+$G932-$I932)</f>
        <v/>
      </c>
      <c r="K932" s="16" t="n"/>
      <c r="L932" s="20">
        <f>IF($A932="","",ROUNDUP(MONTH($A932)/3,0))</f>
        <v/>
      </c>
    </row>
    <row r="933">
      <c r="A933" s="33" t="n"/>
      <c r="B933" s="16" t="n"/>
      <c r="C933" s="16" t="n"/>
      <c r="D933" s="16" t="n"/>
      <c r="E933" s="34" t="n"/>
      <c r="F933" s="18" t="n"/>
      <c r="G933" s="35">
        <f>IF($E933="","",$E933*$F933/100)</f>
        <v/>
      </c>
      <c r="H933" s="18" t="n"/>
      <c r="I933" s="35">
        <f>IF($E933="","",$E933*$H933/100)</f>
        <v/>
      </c>
      <c r="J933" s="35">
        <f>IF($E933="","",$E933+$G933-$I933)</f>
        <v/>
      </c>
      <c r="K933" s="16" t="n"/>
      <c r="L933" s="20">
        <f>IF($A933="","",ROUNDUP(MONTH($A933)/3,0))</f>
        <v/>
      </c>
    </row>
    <row r="934">
      <c r="A934" s="33" t="n"/>
      <c r="B934" s="16" t="n"/>
      <c r="C934" s="16" t="n"/>
      <c r="D934" s="16" t="n"/>
      <c r="E934" s="34" t="n"/>
      <c r="F934" s="18" t="n"/>
      <c r="G934" s="35">
        <f>IF($E934="","",$E934*$F934/100)</f>
        <v/>
      </c>
      <c r="H934" s="18" t="n"/>
      <c r="I934" s="35">
        <f>IF($E934="","",$E934*$H934/100)</f>
        <v/>
      </c>
      <c r="J934" s="35">
        <f>IF($E934="","",$E934+$G934-$I934)</f>
        <v/>
      </c>
      <c r="K934" s="16" t="n"/>
      <c r="L934" s="20">
        <f>IF($A934="","",ROUNDUP(MONTH($A934)/3,0))</f>
        <v/>
      </c>
    </row>
    <row r="935">
      <c r="A935" s="33" t="n"/>
      <c r="B935" s="16" t="n"/>
      <c r="C935" s="16" t="n"/>
      <c r="D935" s="16" t="n"/>
      <c r="E935" s="34" t="n"/>
      <c r="F935" s="18" t="n"/>
      <c r="G935" s="35">
        <f>IF($E935="","",$E935*$F935/100)</f>
        <v/>
      </c>
      <c r="H935" s="18" t="n"/>
      <c r="I935" s="35">
        <f>IF($E935="","",$E935*$H935/100)</f>
        <v/>
      </c>
      <c r="J935" s="35">
        <f>IF($E935="","",$E935+$G935-$I935)</f>
        <v/>
      </c>
      <c r="K935" s="16" t="n"/>
      <c r="L935" s="20">
        <f>IF($A935="","",ROUNDUP(MONTH($A935)/3,0))</f>
        <v/>
      </c>
    </row>
    <row r="936">
      <c r="A936" s="33" t="n"/>
      <c r="B936" s="16" t="n"/>
      <c r="C936" s="16" t="n"/>
      <c r="D936" s="16" t="n"/>
      <c r="E936" s="34" t="n"/>
      <c r="F936" s="18" t="n"/>
      <c r="G936" s="35">
        <f>IF($E936="","",$E936*$F936/100)</f>
        <v/>
      </c>
      <c r="H936" s="18" t="n"/>
      <c r="I936" s="35">
        <f>IF($E936="","",$E936*$H936/100)</f>
        <v/>
      </c>
      <c r="J936" s="35">
        <f>IF($E936="","",$E936+$G936-$I936)</f>
        <v/>
      </c>
      <c r="K936" s="16" t="n"/>
      <c r="L936" s="20">
        <f>IF($A936="","",ROUNDUP(MONTH($A936)/3,0))</f>
        <v/>
      </c>
    </row>
    <row r="937">
      <c r="A937" s="33" t="n"/>
      <c r="B937" s="16" t="n"/>
      <c r="C937" s="16" t="n"/>
      <c r="D937" s="16" t="n"/>
      <c r="E937" s="34" t="n"/>
      <c r="F937" s="18" t="n"/>
      <c r="G937" s="35">
        <f>IF($E937="","",$E937*$F937/100)</f>
        <v/>
      </c>
      <c r="H937" s="18" t="n"/>
      <c r="I937" s="35">
        <f>IF($E937="","",$E937*$H937/100)</f>
        <v/>
      </c>
      <c r="J937" s="35">
        <f>IF($E937="","",$E937+$G937-$I937)</f>
        <v/>
      </c>
      <c r="K937" s="16" t="n"/>
      <c r="L937" s="20">
        <f>IF($A937="","",ROUNDUP(MONTH($A937)/3,0))</f>
        <v/>
      </c>
    </row>
    <row r="938">
      <c r="A938" s="33" t="n"/>
      <c r="B938" s="16" t="n"/>
      <c r="C938" s="16" t="n"/>
      <c r="D938" s="16" t="n"/>
      <c r="E938" s="34" t="n"/>
      <c r="F938" s="18" t="n"/>
      <c r="G938" s="35">
        <f>IF($E938="","",$E938*$F938/100)</f>
        <v/>
      </c>
      <c r="H938" s="18" t="n"/>
      <c r="I938" s="35">
        <f>IF($E938="","",$E938*$H938/100)</f>
        <v/>
      </c>
      <c r="J938" s="35">
        <f>IF($E938="","",$E938+$G938-$I938)</f>
        <v/>
      </c>
      <c r="K938" s="16" t="n"/>
      <c r="L938" s="20">
        <f>IF($A938="","",ROUNDUP(MONTH($A938)/3,0))</f>
        <v/>
      </c>
    </row>
    <row r="939">
      <c r="A939" s="33" t="n"/>
      <c r="B939" s="16" t="n"/>
      <c r="C939" s="16" t="n"/>
      <c r="D939" s="16" t="n"/>
      <c r="E939" s="34" t="n"/>
      <c r="F939" s="18" t="n"/>
      <c r="G939" s="35">
        <f>IF($E939="","",$E939*$F939/100)</f>
        <v/>
      </c>
      <c r="H939" s="18" t="n"/>
      <c r="I939" s="35">
        <f>IF($E939="","",$E939*$H939/100)</f>
        <v/>
      </c>
      <c r="J939" s="35">
        <f>IF($E939="","",$E939+$G939-$I939)</f>
        <v/>
      </c>
      <c r="K939" s="16" t="n"/>
      <c r="L939" s="20">
        <f>IF($A939="","",ROUNDUP(MONTH($A939)/3,0))</f>
        <v/>
      </c>
    </row>
    <row r="940">
      <c r="A940" s="33" t="n"/>
      <c r="B940" s="16" t="n"/>
      <c r="C940" s="16" t="n"/>
      <c r="D940" s="16" t="n"/>
      <c r="E940" s="34" t="n"/>
      <c r="F940" s="18" t="n"/>
      <c r="G940" s="35">
        <f>IF($E940="","",$E940*$F940/100)</f>
        <v/>
      </c>
      <c r="H940" s="18" t="n"/>
      <c r="I940" s="35">
        <f>IF($E940="","",$E940*$H940/100)</f>
        <v/>
      </c>
      <c r="J940" s="35">
        <f>IF($E940="","",$E940+$G940-$I940)</f>
        <v/>
      </c>
      <c r="K940" s="16" t="n"/>
      <c r="L940" s="20">
        <f>IF($A940="","",ROUNDUP(MONTH($A940)/3,0))</f>
        <v/>
      </c>
    </row>
    <row r="941">
      <c r="A941" s="33" t="n"/>
      <c r="B941" s="16" t="n"/>
      <c r="C941" s="16" t="n"/>
      <c r="D941" s="16" t="n"/>
      <c r="E941" s="34" t="n"/>
      <c r="F941" s="18" t="n"/>
      <c r="G941" s="35">
        <f>IF($E941="","",$E941*$F941/100)</f>
        <v/>
      </c>
      <c r="H941" s="18" t="n"/>
      <c r="I941" s="35">
        <f>IF($E941="","",$E941*$H941/100)</f>
        <v/>
      </c>
      <c r="J941" s="35">
        <f>IF($E941="","",$E941+$G941-$I941)</f>
        <v/>
      </c>
      <c r="K941" s="16" t="n"/>
      <c r="L941" s="20">
        <f>IF($A941="","",ROUNDUP(MONTH($A941)/3,0))</f>
        <v/>
      </c>
    </row>
    <row r="942">
      <c r="A942" s="33" t="n"/>
      <c r="B942" s="16" t="n"/>
      <c r="C942" s="16" t="n"/>
      <c r="D942" s="16" t="n"/>
      <c r="E942" s="34" t="n"/>
      <c r="F942" s="18" t="n"/>
      <c r="G942" s="35">
        <f>IF($E942="","",$E942*$F942/100)</f>
        <v/>
      </c>
      <c r="H942" s="18" t="n"/>
      <c r="I942" s="35">
        <f>IF($E942="","",$E942*$H942/100)</f>
        <v/>
      </c>
      <c r="J942" s="35">
        <f>IF($E942="","",$E942+$G942-$I942)</f>
        <v/>
      </c>
      <c r="K942" s="16" t="n"/>
      <c r="L942" s="20">
        <f>IF($A942="","",ROUNDUP(MONTH($A942)/3,0))</f>
        <v/>
      </c>
    </row>
    <row r="943">
      <c r="A943" s="33" t="n"/>
      <c r="B943" s="16" t="n"/>
      <c r="C943" s="16" t="n"/>
      <c r="D943" s="16" t="n"/>
      <c r="E943" s="34" t="n"/>
      <c r="F943" s="18" t="n"/>
      <c r="G943" s="35">
        <f>IF($E943="","",$E943*$F943/100)</f>
        <v/>
      </c>
      <c r="H943" s="18" t="n"/>
      <c r="I943" s="35">
        <f>IF($E943="","",$E943*$H943/100)</f>
        <v/>
      </c>
      <c r="J943" s="35">
        <f>IF($E943="","",$E943+$G943-$I943)</f>
        <v/>
      </c>
      <c r="K943" s="16" t="n"/>
      <c r="L943" s="20">
        <f>IF($A943="","",ROUNDUP(MONTH($A943)/3,0))</f>
        <v/>
      </c>
    </row>
    <row r="944">
      <c r="A944" s="33" t="n"/>
      <c r="B944" s="16" t="n"/>
      <c r="C944" s="16" t="n"/>
      <c r="D944" s="16" t="n"/>
      <c r="E944" s="34" t="n"/>
      <c r="F944" s="18" t="n"/>
      <c r="G944" s="35">
        <f>IF($E944="","",$E944*$F944/100)</f>
        <v/>
      </c>
      <c r="H944" s="18" t="n"/>
      <c r="I944" s="35">
        <f>IF($E944="","",$E944*$H944/100)</f>
        <v/>
      </c>
      <c r="J944" s="35">
        <f>IF($E944="","",$E944+$G944-$I944)</f>
        <v/>
      </c>
      <c r="K944" s="16" t="n"/>
      <c r="L944" s="20">
        <f>IF($A944="","",ROUNDUP(MONTH($A944)/3,0))</f>
        <v/>
      </c>
    </row>
    <row r="945">
      <c r="A945" s="33" t="n"/>
      <c r="B945" s="16" t="n"/>
      <c r="C945" s="16" t="n"/>
      <c r="D945" s="16" t="n"/>
      <c r="E945" s="34" t="n"/>
      <c r="F945" s="18" t="n"/>
      <c r="G945" s="35">
        <f>IF($E945="","",$E945*$F945/100)</f>
        <v/>
      </c>
      <c r="H945" s="18" t="n"/>
      <c r="I945" s="35">
        <f>IF($E945="","",$E945*$H945/100)</f>
        <v/>
      </c>
      <c r="J945" s="35">
        <f>IF($E945="","",$E945+$G945-$I945)</f>
        <v/>
      </c>
      <c r="K945" s="16" t="n"/>
      <c r="L945" s="20">
        <f>IF($A945="","",ROUNDUP(MONTH($A945)/3,0))</f>
        <v/>
      </c>
    </row>
    <row r="946">
      <c r="A946" s="33" t="n"/>
      <c r="B946" s="16" t="n"/>
      <c r="C946" s="16" t="n"/>
      <c r="D946" s="16" t="n"/>
      <c r="E946" s="34" t="n"/>
      <c r="F946" s="18" t="n"/>
      <c r="G946" s="35">
        <f>IF($E946="","",$E946*$F946/100)</f>
        <v/>
      </c>
      <c r="H946" s="18" t="n"/>
      <c r="I946" s="35">
        <f>IF($E946="","",$E946*$H946/100)</f>
        <v/>
      </c>
      <c r="J946" s="35">
        <f>IF($E946="","",$E946+$G946-$I946)</f>
        <v/>
      </c>
      <c r="K946" s="16" t="n"/>
      <c r="L946" s="20">
        <f>IF($A946="","",ROUNDUP(MONTH($A946)/3,0))</f>
        <v/>
      </c>
    </row>
    <row r="947">
      <c r="A947" s="33" t="n"/>
      <c r="B947" s="16" t="n"/>
      <c r="C947" s="16" t="n"/>
      <c r="D947" s="16" t="n"/>
      <c r="E947" s="34" t="n"/>
      <c r="F947" s="18" t="n"/>
      <c r="G947" s="35">
        <f>IF($E947="","",$E947*$F947/100)</f>
        <v/>
      </c>
      <c r="H947" s="18" t="n"/>
      <c r="I947" s="35">
        <f>IF($E947="","",$E947*$H947/100)</f>
        <v/>
      </c>
      <c r="J947" s="35">
        <f>IF($E947="","",$E947+$G947-$I947)</f>
        <v/>
      </c>
      <c r="K947" s="16" t="n"/>
      <c r="L947" s="20">
        <f>IF($A947="","",ROUNDUP(MONTH($A947)/3,0))</f>
        <v/>
      </c>
    </row>
    <row r="948">
      <c r="A948" s="33" t="n"/>
      <c r="B948" s="16" t="n"/>
      <c r="C948" s="16" t="n"/>
      <c r="D948" s="16" t="n"/>
      <c r="E948" s="34" t="n"/>
      <c r="F948" s="18" t="n"/>
      <c r="G948" s="35">
        <f>IF($E948="","",$E948*$F948/100)</f>
        <v/>
      </c>
      <c r="H948" s="18" t="n"/>
      <c r="I948" s="35">
        <f>IF($E948="","",$E948*$H948/100)</f>
        <v/>
      </c>
      <c r="J948" s="35">
        <f>IF($E948="","",$E948+$G948-$I948)</f>
        <v/>
      </c>
      <c r="K948" s="16" t="n"/>
      <c r="L948" s="20">
        <f>IF($A948="","",ROUNDUP(MONTH($A948)/3,0))</f>
        <v/>
      </c>
    </row>
    <row r="949">
      <c r="A949" s="33" t="n"/>
      <c r="B949" s="16" t="n"/>
      <c r="C949" s="16" t="n"/>
      <c r="D949" s="16" t="n"/>
      <c r="E949" s="34" t="n"/>
      <c r="F949" s="18" t="n"/>
      <c r="G949" s="35">
        <f>IF($E949="","",$E949*$F949/100)</f>
        <v/>
      </c>
      <c r="H949" s="18" t="n"/>
      <c r="I949" s="35">
        <f>IF($E949="","",$E949*$H949/100)</f>
        <v/>
      </c>
      <c r="J949" s="35">
        <f>IF($E949="","",$E949+$G949-$I949)</f>
        <v/>
      </c>
      <c r="K949" s="16" t="n"/>
      <c r="L949" s="20">
        <f>IF($A949="","",ROUNDUP(MONTH($A949)/3,0))</f>
        <v/>
      </c>
    </row>
    <row r="950">
      <c r="A950" s="33" t="n"/>
      <c r="B950" s="16" t="n"/>
      <c r="C950" s="16" t="n"/>
      <c r="D950" s="16" t="n"/>
      <c r="E950" s="34" t="n"/>
      <c r="F950" s="18" t="n"/>
      <c r="G950" s="35">
        <f>IF($E950="","",$E950*$F950/100)</f>
        <v/>
      </c>
      <c r="H950" s="18" t="n"/>
      <c r="I950" s="35">
        <f>IF($E950="","",$E950*$H950/100)</f>
        <v/>
      </c>
      <c r="J950" s="35">
        <f>IF($E950="","",$E950+$G950-$I950)</f>
        <v/>
      </c>
      <c r="K950" s="16" t="n"/>
      <c r="L950" s="20">
        <f>IF($A950="","",ROUNDUP(MONTH($A950)/3,0))</f>
        <v/>
      </c>
    </row>
    <row r="951">
      <c r="A951" s="33" t="n"/>
      <c r="B951" s="16" t="n"/>
      <c r="C951" s="16" t="n"/>
      <c r="D951" s="16" t="n"/>
      <c r="E951" s="34" t="n"/>
      <c r="F951" s="18" t="n"/>
      <c r="G951" s="35">
        <f>IF($E951="","",$E951*$F951/100)</f>
        <v/>
      </c>
      <c r="H951" s="18" t="n"/>
      <c r="I951" s="35">
        <f>IF($E951="","",$E951*$H951/100)</f>
        <v/>
      </c>
      <c r="J951" s="35">
        <f>IF($E951="","",$E951+$G951-$I951)</f>
        <v/>
      </c>
      <c r="K951" s="16" t="n"/>
      <c r="L951" s="20">
        <f>IF($A951="","",ROUNDUP(MONTH($A951)/3,0))</f>
        <v/>
      </c>
    </row>
    <row r="952">
      <c r="A952" s="33" t="n"/>
      <c r="B952" s="16" t="n"/>
      <c r="C952" s="16" t="n"/>
      <c r="D952" s="16" t="n"/>
      <c r="E952" s="34" t="n"/>
      <c r="F952" s="18" t="n"/>
      <c r="G952" s="35">
        <f>IF($E952="","",$E952*$F952/100)</f>
        <v/>
      </c>
      <c r="H952" s="18" t="n"/>
      <c r="I952" s="35">
        <f>IF($E952="","",$E952*$H952/100)</f>
        <v/>
      </c>
      <c r="J952" s="35">
        <f>IF($E952="","",$E952+$G952-$I952)</f>
        <v/>
      </c>
      <c r="K952" s="16" t="n"/>
      <c r="L952" s="20">
        <f>IF($A952="","",ROUNDUP(MONTH($A952)/3,0))</f>
        <v/>
      </c>
    </row>
    <row r="953">
      <c r="A953" s="33" t="n"/>
      <c r="B953" s="16" t="n"/>
      <c r="C953" s="16" t="n"/>
      <c r="D953" s="16" t="n"/>
      <c r="E953" s="34" t="n"/>
      <c r="F953" s="18" t="n"/>
      <c r="G953" s="35">
        <f>IF($E953="","",$E953*$F953/100)</f>
        <v/>
      </c>
      <c r="H953" s="18" t="n"/>
      <c r="I953" s="35">
        <f>IF($E953="","",$E953*$H953/100)</f>
        <v/>
      </c>
      <c r="J953" s="35">
        <f>IF($E953="","",$E953+$G953-$I953)</f>
        <v/>
      </c>
      <c r="K953" s="16" t="n"/>
      <c r="L953" s="20">
        <f>IF($A953="","",ROUNDUP(MONTH($A953)/3,0))</f>
        <v/>
      </c>
    </row>
    <row r="954">
      <c r="A954" s="33" t="n"/>
      <c r="B954" s="16" t="n"/>
      <c r="C954" s="16" t="n"/>
      <c r="D954" s="16" t="n"/>
      <c r="E954" s="34" t="n"/>
      <c r="F954" s="18" t="n"/>
      <c r="G954" s="35">
        <f>IF($E954="","",$E954*$F954/100)</f>
        <v/>
      </c>
      <c r="H954" s="18" t="n"/>
      <c r="I954" s="35">
        <f>IF($E954="","",$E954*$H954/100)</f>
        <v/>
      </c>
      <c r="J954" s="35">
        <f>IF($E954="","",$E954+$G954-$I954)</f>
        <v/>
      </c>
      <c r="K954" s="16" t="n"/>
      <c r="L954" s="20">
        <f>IF($A954="","",ROUNDUP(MONTH($A954)/3,0))</f>
        <v/>
      </c>
    </row>
    <row r="955">
      <c r="A955" s="33" t="n"/>
      <c r="B955" s="16" t="n"/>
      <c r="C955" s="16" t="n"/>
      <c r="D955" s="16" t="n"/>
      <c r="E955" s="34" t="n"/>
      <c r="F955" s="18" t="n"/>
      <c r="G955" s="35">
        <f>IF($E955="","",$E955*$F955/100)</f>
        <v/>
      </c>
      <c r="H955" s="18" t="n"/>
      <c r="I955" s="35">
        <f>IF($E955="","",$E955*$H955/100)</f>
        <v/>
      </c>
      <c r="J955" s="35">
        <f>IF($E955="","",$E955+$G955-$I955)</f>
        <v/>
      </c>
      <c r="K955" s="16" t="n"/>
      <c r="L955" s="20">
        <f>IF($A955="","",ROUNDUP(MONTH($A955)/3,0))</f>
        <v/>
      </c>
    </row>
    <row r="956">
      <c r="A956" s="33" t="n"/>
      <c r="B956" s="16" t="n"/>
      <c r="C956" s="16" t="n"/>
      <c r="D956" s="16" t="n"/>
      <c r="E956" s="34" t="n"/>
      <c r="F956" s="18" t="n"/>
      <c r="G956" s="35">
        <f>IF($E956="","",$E956*$F956/100)</f>
        <v/>
      </c>
      <c r="H956" s="18" t="n"/>
      <c r="I956" s="35">
        <f>IF($E956="","",$E956*$H956/100)</f>
        <v/>
      </c>
      <c r="J956" s="35">
        <f>IF($E956="","",$E956+$G956-$I956)</f>
        <v/>
      </c>
      <c r="K956" s="16" t="n"/>
      <c r="L956" s="20">
        <f>IF($A956="","",ROUNDUP(MONTH($A956)/3,0))</f>
        <v/>
      </c>
    </row>
    <row r="957">
      <c r="A957" s="33" t="n"/>
      <c r="B957" s="16" t="n"/>
      <c r="C957" s="16" t="n"/>
      <c r="D957" s="16" t="n"/>
      <c r="E957" s="34" t="n"/>
      <c r="F957" s="18" t="n"/>
      <c r="G957" s="35">
        <f>IF($E957="","",$E957*$F957/100)</f>
        <v/>
      </c>
      <c r="H957" s="18" t="n"/>
      <c r="I957" s="35">
        <f>IF($E957="","",$E957*$H957/100)</f>
        <v/>
      </c>
      <c r="J957" s="35">
        <f>IF($E957="","",$E957+$G957-$I957)</f>
        <v/>
      </c>
      <c r="K957" s="16" t="n"/>
      <c r="L957" s="20">
        <f>IF($A957="","",ROUNDUP(MONTH($A957)/3,0))</f>
        <v/>
      </c>
    </row>
    <row r="958">
      <c r="A958" s="33" t="n"/>
      <c r="B958" s="16" t="n"/>
      <c r="C958" s="16" t="n"/>
      <c r="D958" s="16" t="n"/>
      <c r="E958" s="34" t="n"/>
      <c r="F958" s="18" t="n"/>
      <c r="G958" s="35">
        <f>IF($E958="","",$E958*$F958/100)</f>
        <v/>
      </c>
      <c r="H958" s="18" t="n"/>
      <c r="I958" s="35">
        <f>IF($E958="","",$E958*$H958/100)</f>
        <v/>
      </c>
      <c r="J958" s="35">
        <f>IF($E958="","",$E958+$G958-$I958)</f>
        <v/>
      </c>
      <c r="K958" s="16" t="n"/>
      <c r="L958" s="20">
        <f>IF($A958="","",ROUNDUP(MONTH($A958)/3,0))</f>
        <v/>
      </c>
    </row>
    <row r="959">
      <c r="A959" s="33" t="n"/>
      <c r="B959" s="16" t="n"/>
      <c r="C959" s="16" t="n"/>
      <c r="D959" s="16" t="n"/>
      <c r="E959" s="34" t="n"/>
      <c r="F959" s="18" t="n"/>
      <c r="G959" s="35">
        <f>IF($E959="","",$E959*$F959/100)</f>
        <v/>
      </c>
      <c r="H959" s="18" t="n"/>
      <c r="I959" s="35">
        <f>IF($E959="","",$E959*$H959/100)</f>
        <v/>
      </c>
      <c r="J959" s="35">
        <f>IF($E959="","",$E959+$G959-$I959)</f>
        <v/>
      </c>
      <c r="K959" s="16" t="n"/>
      <c r="L959" s="20">
        <f>IF($A959="","",ROUNDUP(MONTH($A959)/3,0))</f>
        <v/>
      </c>
    </row>
    <row r="960">
      <c r="A960" s="33" t="n"/>
      <c r="B960" s="16" t="n"/>
      <c r="C960" s="16" t="n"/>
      <c r="D960" s="16" t="n"/>
      <c r="E960" s="34" t="n"/>
      <c r="F960" s="18" t="n"/>
      <c r="G960" s="35">
        <f>IF($E960="","",$E960*$F960/100)</f>
        <v/>
      </c>
      <c r="H960" s="18" t="n"/>
      <c r="I960" s="35">
        <f>IF($E960="","",$E960*$H960/100)</f>
        <v/>
      </c>
      <c r="J960" s="35">
        <f>IF($E960="","",$E960+$G960-$I960)</f>
        <v/>
      </c>
      <c r="K960" s="16" t="n"/>
      <c r="L960" s="20">
        <f>IF($A960="","",ROUNDUP(MONTH($A960)/3,0))</f>
        <v/>
      </c>
    </row>
    <row r="961">
      <c r="A961" s="33" t="n"/>
      <c r="B961" s="16" t="n"/>
      <c r="C961" s="16" t="n"/>
      <c r="D961" s="16" t="n"/>
      <c r="E961" s="34" t="n"/>
      <c r="F961" s="18" t="n"/>
      <c r="G961" s="35">
        <f>IF($E961="","",$E961*$F961/100)</f>
        <v/>
      </c>
      <c r="H961" s="18" t="n"/>
      <c r="I961" s="35">
        <f>IF($E961="","",$E961*$H961/100)</f>
        <v/>
      </c>
      <c r="J961" s="35">
        <f>IF($E961="","",$E961+$G961-$I961)</f>
        <v/>
      </c>
      <c r="K961" s="16" t="n"/>
      <c r="L961" s="20">
        <f>IF($A961="","",ROUNDUP(MONTH($A961)/3,0))</f>
        <v/>
      </c>
    </row>
    <row r="962">
      <c r="A962" s="33" t="n"/>
      <c r="B962" s="16" t="n"/>
      <c r="C962" s="16" t="n"/>
      <c r="D962" s="16" t="n"/>
      <c r="E962" s="34" t="n"/>
      <c r="F962" s="18" t="n"/>
      <c r="G962" s="35">
        <f>IF($E962="","",$E962*$F962/100)</f>
        <v/>
      </c>
      <c r="H962" s="18" t="n"/>
      <c r="I962" s="35">
        <f>IF($E962="","",$E962*$H962/100)</f>
        <v/>
      </c>
      <c r="J962" s="35">
        <f>IF($E962="","",$E962+$G962-$I962)</f>
        <v/>
      </c>
      <c r="K962" s="16" t="n"/>
      <c r="L962" s="20">
        <f>IF($A962="","",ROUNDUP(MONTH($A962)/3,0))</f>
        <v/>
      </c>
    </row>
    <row r="963">
      <c r="A963" s="33" t="n"/>
      <c r="B963" s="16" t="n"/>
      <c r="C963" s="16" t="n"/>
      <c r="D963" s="16" t="n"/>
      <c r="E963" s="34" t="n"/>
      <c r="F963" s="18" t="n"/>
      <c r="G963" s="35">
        <f>IF($E963="","",$E963*$F963/100)</f>
        <v/>
      </c>
      <c r="H963" s="18" t="n"/>
      <c r="I963" s="35">
        <f>IF($E963="","",$E963*$H963/100)</f>
        <v/>
      </c>
      <c r="J963" s="35">
        <f>IF($E963="","",$E963+$G963-$I963)</f>
        <v/>
      </c>
      <c r="K963" s="16" t="n"/>
      <c r="L963" s="20">
        <f>IF($A963="","",ROUNDUP(MONTH($A963)/3,0))</f>
        <v/>
      </c>
    </row>
    <row r="964">
      <c r="A964" s="33" t="n"/>
      <c r="B964" s="16" t="n"/>
      <c r="C964" s="16" t="n"/>
      <c r="D964" s="16" t="n"/>
      <c r="E964" s="34" t="n"/>
      <c r="F964" s="18" t="n"/>
      <c r="G964" s="35">
        <f>IF($E964="","",$E964*$F964/100)</f>
        <v/>
      </c>
      <c r="H964" s="18" t="n"/>
      <c r="I964" s="35">
        <f>IF($E964="","",$E964*$H964/100)</f>
        <v/>
      </c>
      <c r="J964" s="35">
        <f>IF($E964="","",$E964+$G964-$I964)</f>
        <v/>
      </c>
      <c r="K964" s="16" t="n"/>
      <c r="L964" s="20">
        <f>IF($A964="","",ROUNDUP(MONTH($A964)/3,0))</f>
        <v/>
      </c>
    </row>
    <row r="965">
      <c r="A965" s="33" t="n"/>
      <c r="B965" s="16" t="n"/>
      <c r="C965" s="16" t="n"/>
      <c r="D965" s="16" t="n"/>
      <c r="E965" s="34" t="n"/>
      <c r="F965" s="18" t="n"/>
      <c r="G965" s="35">
        <f>IF($E965="","",$E965*$F965/100)</f>
        <v/>
      </c>
      <c r="H965" s="18" t="n"/>
      <c r="I965" s="35">
        <f>IF($E965="","",$E965*$H965/100)</f>
        <v/>
      </c>
      <c r="J965" s="35">
        <f>IF($E965="","",$E965+$G965-$I965)</f>
        <v/>
      </c>
      <c r="K965" s="16" t="n"/>
      <c r="L965" s="20">
        <f>IF($A965="","",ROUNDUP(MONTH($A965)/3,0))</f>
        <v/>
      </c>
    </row>
    <row r="966">
      <c r="A966" s="33" t="n"/>
      <c r="B966" s="16" t="n"/>
      <c r="C966" s="16" t="n"/>
      <c r="D966" s="16" t="n"/>
      <c r="E966" s="34" t="n"/>
      <c r="F966" s="18" t="n"/>
      <c r="G966" s="35">
        <f>IF($E966="","",$E966*$F966/100)</f>
        <v/>
      </c>
      <c r="H966" s="18" t="n"/>
      <c r="I966" s="35">
        <f>IF($E966="","",$E966*$H966/100)</f>
        <v/>
      </c>
      <c r="J966" s="35">
        <f>IF($E966="","",$E966+$G966-$I966)</f>
        <v/>
      </c>
      <c r="K966" s="16" t="n"/>
      <c r="L966" s="20">
        <f>IF($A966="","",ROUNDUP(MONTH($A966)/3,0))</f>
        <v/>
      </c>
    </row>
    <row r="967">
      <c r="A967" s="33" t="n"/>
      <c r="B967" s="16" t="n"/>
      <c r="C967" s="16" t="n"/>
      <c r="D967" s="16" t="n"/>
      <c r="E967" s="34" t="n"/>
      <c r="F967" s="18" t="n"/>
      <c r="G967" s="35">
        <f>IF($E967="","",$E967*$F967/100)</f>
        <v/>
      </c>
      <c r="H967" s="18" t="n"/>
      <c r="I967" s="35">
        <f>IF($E967="","",$E967*$H967/100)</f>
        <v/>
      </c>
      <c r="J967" s="35">
        <f>IF($E967="","",$E967+$G967-$I967)</f>
        <v/>
      </c>
      <c r="K967" s="16" t="n"/>
      <c r="L967" s="20">
        <f>IF($A967="","",ROUNDUP(MONTH($A967)/3,0))</f>
        <v/>
      </c>
    </row>
    <row r="968">
      <c r="A968" s="33" t="n"/>
      <c r="B968" s="16" t="n"/>
      <c r="C968" s="16" t="n"/>
      <c r="D968" s="16" t="n"/>
      <c r="E968" s="34" t="n"/>
      <c r="F968" s="18" t="n"/>
      <c r="G968" s="35">
        <f>IF($E968="","",$E968*$F968/100)</f>
        <v/>
      </c>
      <c r="H968" s="18" t="n"/>
      <c r="I968" s="35">
        <f>IF($E968="","",$E968*$H968/100)</f>
        <v/>
      </c>
      <c r="J968" s="35">
        <f>IF($E968="","",$E968+$G968-$I968)</f>
        <v/>
      </c>
      <c r="K968" s="16" t="n"/>
      <c r="L968" s="20">
        <f>IF($A968="","",ROUNDUP(MONTH($A968)/3,0))</f>
        <v/>
      </c>
    </row>
    <row r="969">
      <c r="A969" s="33" t="n"/>
      <c r="B969" s="16" t="n"/>
      <c r="C969" s="16" t="n"/>
      <c r="D969" s="16" t="n"/>
      <c r="E969" s="34" t="n"/>
      <c r="F969" s="18" t="n"/>
      <c r="G969" s="35">
        <f>IF($E969="","",$E969*$F969/100)</f>
        <v/>
      </c>
      <c r="H969" s="18" t="n"/>
      <c r="I969" s="35">
        <f>IF($E969="","",$E969*$H969/100)</f>
        <v/>
      </c>
      <c r="J969" s="35">
        <f>IF($E969="","",$E969+$G969-$I969)</f>
        <v/>
      </c>
      <c r="K969" s="16" t="n"/>
      <c r="L969" s="20">
        <f>IF($A969="","",ROUNDUP(MONTH($A969)/3,0))</f>
        <v/>
      </c>
    </row>
    <row r="970">
      <c r="A970" s="33" t="n"/>
      <c r="B970" s="16" t="n"/>
      <c r="C970" s="16" t="n"/>
      <c r="D970" s="16" t="n"/>
      <c r="E970" s="34" t="n"/>
      <c r="F970" s="18" t="n"/>
      <c r="G970" s="35">
        <f>IF($E970="","",$E970*$F970/100)</f>
        <v/>
      </c>
      <c r="H970" s="18" t="n"/>
      <c r="I970" s="35">
        <f>IF($E970="","",$E970*$H970/100)</f>
        <v/>
      </c>
      <c r="J970" s="35">
        <f>IF($E970="","",$E970+$G970-$I970)</f>
        <v/>
      </c>
      <c r="K970" s="16" t="n"/>
      <c r="L970" s="20">
        <f>IF($A970="","",ROUNDUP(MONTH($A970)/3,0))</f>
        <v/>
      </c>
    </row>
    <row r="971">
      <c r="A971" s="33" t="n"/>
      <c r="B971" s="16" t="n"/>
      <c r="C971" s="16" t="n"/>
      <c r="D971" s="16" t="n"/>
      <c r="E971" s="34" t="n"/>
      <c r="F971" s="18" t="n"/>
      <c r="G971" s="35">
        <f>IF($E971="","",$E971*$F971/100)</f>
        <v/>
      </c>
      <c r="H971" s="18" t="n"/>
      <c r="I971" s="35">
        <f>IF($E971="","",$E971*$H971/100)</f>
        <v/>
      </c>
      <c r="J971" s="35">
        <f>IF($E971="","",$E971+$G971-$I971)</f>
        <v/>
      </c>
      <c r="K971" s="16" t="n"/>
      <c r="L971" s="20">
        <f>IF($A971="","",ROUNDUP(MONTH($A971)/3,0))</f>
        <v/>
      </c>
    </row>
    <row r="972">
      <c r="A972" s="33" t="n"/>
      <c r="B972" s="16" t="n"/>
      <c r="C972" s="16" t="n"/>
      <c r="D972" s="16" t="n"/>
      <c r="E972" s="34" t="n"/>
      <c r="F972" s="18" t="n"/>
      <c r="G972" s="35">
        <f>IF($E972="","",$E972*$F972/100)</f>
        <v/>
      </c>
      <c r="H972" s="18" t="n"/>
      <c r="I972" s="35">
        <f>IF($E972="","",$E972*$H972/100)</f>
        <v/>
      </c>
      <c r="J972" s="35">
        <f>IF($E972="","",$E972+$G972-$I972)</f>
        <v/>
      </c>
      <c r="K972" s="16" t="n"/>
      <c r="L972" s="20">
        <f>IF($A972="","",ROUNDUP(MONTH($A972)/3,0))</f>
        <v/>
      </c>
    </row>
    <row r="973">
      <c r="A973" s="33" t="n"/>
      <c r="B973" s="16" t="n"/>
      <c r="C973" s="16" t="n"/>
      <c r="D973" s="16" t="n"/>
      <c r="E973" s="34" t="n"/>
      <c r="F973" s="18" t="n"/>
      <c r="G973" s="35">
        <f>IF($E973="","",$E973*$F973/100)</f>
        <v/>
      </c>
      <c r="H973" s="18" t="n"/>
      <c r="I973" s="35">
        <f>IF($E973="","",$E973*$H973/100)</f>
        <v/>
      </c>
      <c r="J973" s="35">
        <f>IF($E973="","",$E973+$G973-$I973)</f>
        <v/>
      </c>
      <c r="K973" s="16" t="n"/>
      <c r="L973" s="20">
        <f>IF($A973="","",ROUNDUP(MONTH($A973)/3,0))</f>
        <v/>
      </c>
    </row>
    <row r="974">
      <c r="A974" s="33" t="n"/>
      <c r="B974" s="16" t="n"/>
      <c r="C974" s="16" t="n"/>
      <c r="D974" s="16" t="n"/>
      <c r="E974" s="34" t="n"/>
      <c r="F974" s="18" t="n"/>
      <c r="G974" s="35">
        <f>IF($E974="","",$E974*$F974/100)</f>
        <v/>
      </c>
      <c r="H974" s="18" t="n"/>
      <c r="I974" s="35">
        <f>IF($E974="","",$E974*$H974/100)</f>
        <v/>
      </c>
      <c r="J974" s="35">
        <f>IF($E974="","",$E974+$G974-$I974)</f>
        <v/>
      </c>
      <c r="K974" s="16" t="n"/>
      <c r="L974" s="20">
        <f>IF($A974="","",ROUNDUP(MONTH($A974)/3,0))</f>
        <v/>
      </c>
    </row>
    <row r="975">
      <c r="A975" s="33" t="n"/>
      <c r="B975" s="16" t="n"/>
      <c r="C975" s="16" t="n"/>
      <c r="D975" s="16" t="n"/>
      <c r="E975" s="34" t="n"/>
      <c r="F975" s="18" t="n"/>
      <c r="G975" s="35">
        <f>IF($E975="","",$E975*$F975/100)</f>
        <v/>
      </c>
      <c r="H975" s="18" t="n"/>
      <c r="I975" s="35">
        <f>IF($E975="","",$E975*$H975/100)</f>
        <v/>
      </c>
      <c r="J975" s="35">
        <f>IF($E975="","",$E975+$G975-$I975)</f>
        <v/>
      </c>
      <c r="K975" s="16" t="n"/>
      <c r="L975" s="20">
        <f>IF($A975="","",ROUNDUP(MONTH($A975)/3,0))</f>
        <v/>
      </c>
    </row>
    <row r="976">
      <c r="A976" s="33" t="n"/>
      <c r="B976" s="16" t="n"/>
      <c r="C976" s="16" t="n"/>
      <c r="D976" s="16" t="n"/>
      <c r="E976" s="34" t="n"/>
      <c r="F976" s="18" t="n"/>
      <c r="G976" s="35">
        <f>IF($E976="","",$E976*$F976/100)</f>
        <v/>
      </c>
      <c r="H976" s="18" t="n"/>
      <c r="I976" s="35">
        <f>IF($E976="","",$E976*$H976/100)</f>
        <v/>
      </c>
      <c r="J976" s="35">
        <f>IF($E976="","",$E976+$G976-$I976)</f>
        <v/>
      </c>
      <c r="K976" s="16" t="n"/>
      <c r="L976" s="20">
        <f>IF($A976="","",ROUNDUP(MONTH($A976)/3,0))</f>
        <v/>
      </c>
    </row>
    <row r="977">
      <c r="A977" s="33" t="n"/>
      <c r="B977" s="16" t="n"/>
      <c r="C977" s="16" t="n"/>
      <c r="D977" s="16" t="n"/>
      <c r="E977" s="34" t="n"/>
      <c r="F977" s="18" t="n"/>
      <c r="G977" s="35">
        <f>IF($E977="","",$E977*$F977/100)</f>
        <v/>
      </c>
      <c r="H977" s="18" t="n"/>
      <c r="I977" s="35">
        <f>IF($E977="","",$E977*$H977/100)</f>
        <v/>
      </c>
      <c r="J977" s="35">
        <f>IF($E977="","",$E977+$G977-$I977)</f>
        <v/>
      </c>
      <c r="K977" s="16" t="n"/>
      <c r="L977" s="20">
        <f>IF($A977="","",ROUNDUP(MONTH($A977)/3,0))</f>
        <v/>
      </c>
    </row>
    <row r="978">
      <c r="A978" s="33" t="n"/>
      <c r="B978" s="16" t="n"/>
      <c r="C978" s="16" t="n"/>
      <c r="D978" s="16" t="n"/>
      <c r="E978" s="34" t="n"/>
      <c r="F978" s="18" t="n"/>
      <c r="G978" s="35">
        <f>IF($E978="","",$E978*$F978/100)</f>
        <v/>
      </c>
      <c r="H978" s="18" t="n"/>
      <c r="I978" s="35">
        <f>IF($E978="","",$E978*$H978/100)</f>
        <v/>
      </c>
      <c r="J978" s="35">
        <f>IF($E978="","",$E978+$G978-$I978)</f>
        <v/>
      </c>
      <c r="K978" s="16" t="n"/>
      <c r="L978" s="20">
        <f>IF($A978="","",ROUNDUP(MONTH($A978)/3,0))</f>
        <v/>
      </c>
    </row>
    <row r="979">
      <c r="A979" s="33" t="n"/>
      <c r="B979" s="16" t="n"/>
      <c r="C979" s="16" t="n"/>
      <c r="D979" s="16" t="n"/>
      <c r="E979" s="34" t="n"/>
      <c r="F979" s="18" t="n"/>
      <c r="G979" s="35">
        <f>IF($E979="","",$E979*$F979/100)</f>
        <v/>
      </c>
      <c r="H979" s="18" t="n"/>
      <c r="I979" s="35">
        <f>IF($E979="","",$E979*$H979/100)</f>
        <v/>
      </c>
      <c r="J979" s="35">
        <f>IF($E979="","",$E979+$G979-$I979)</f>
        <v/>
      </c>
      <c r="K979" s="16" t="n"/>
      <c r="L979" s="20">
        <f>IF($A979="","",ROUNDUP(MONTH($A979)/3,0))</f>
        <v/>
      </c>
    </row>
    <row r="980">
      <c r="A980" s="33" t="n"/>
      <c r="B980" s="16" t="n"/>
      <c r="C980" s="16" t="n"/>
      <c r="D980" s="16" t="n"/>
      <c r="E980" s="34" t="n"/>
      <c r="F980" s="18" t="n"/>
      <c r="G980" s="35">
        <f>IF($E980="","",$E980*$F980/100)</f>
        <v/>
      </c>
      <c r="H980" s="18" t="n"/>
      <c r="I980" s="35">
        <f>IF($E980="","",$E980*$H980/100)</f>
        <v/>
      </c>
      <c r="J980" s="35">
        <f>IF($E980="","",$E980+$G980-$I980)</f>
        <v/>
      </c>
      <c r="K980" s="16" t="n"/>
      <c r="L980" s="20">
        <f>IF($A980="","",ROUNDUP(MONTH($A980)/3,0))</f>
        <v/>
      </c>
    </row>
    <row r="981">
      <c r="A981" s="33" t="n"/>
      <c r="B981" s="16" t="n"/>
      <c r="C981" s="16" t="n"/>
      <c r="D981" s="16" t="n"/>
      <c r="E981" s="34" t="n"/>
      <c r="F981" s="18" t="n"/>
      <c r="G981" s="35">
        <f>IF($E981="","",$E981*$F981/100)</f>
        <v/>
      </c>
      <c r="H981" s="18" t="n"/>
      <c r="I981" s="35">
        <f>IF($E981="","",$E981*$H981/100)</f>
        <v/>
      </c>
      <c r="J981" s="35">
        <f>IF($E981="","",$E981+$G981-$I981)</f>
        <v/>
      </c>
      <c r="K981" s="16" t="n"/>
      <c r="L981" s="20">
        <f>IF($A981="","",ROUNDUP(MONTH($A981)/3,0))</f>
        <v/>
      </c>
    </row>
    <row r="982">
      <c r="A982" s="33" t="n"/>
      <c r="B982" s="16" t="n"/>
      <c r="C982" s="16" t="n"/>
      <c r="D982" s="16" t="n"/>
      <c r="E982" s="34" t="n"/>
      <c r="F982" s="18" t="n"/>
      <c r="G982" s="35">
        <f>IF($E982="","",$E982*$F982/100)</f>
        <v/>
      </c>
      <c r="H982" s="18" t="n"/>
      <c r="I982" s="35">
        <f>IF($E982="","",$E982*$H982/100)</f>
        <v/>
      </c>
      <c r="J982" s="35">
        <f>IF($E982="","",$E982+$G982-$I982)</f>
        <v/>
      </c>
      <c r="K982" s="16" t="n"/>
      <c r="L982" s="20">
        <f>IF($A982="","",ROUNDUP(MONTH($A982)/3,0))</f>
        <v/>
      </c>
    </row>
    <row r="983">
      <c r="A983" s="33" t="n"/>
      <c r="B983" s="16" t="n"/>
      <c r="C983" s="16" t="n"/>
      <c r="D983" s="16" t="n"/>
      <c r="E983" s="34" t="n"/>
      <c r="F983" s="18" t="n"/>
      <c r="G983" s="35">
        <f>IF($E983="","",$E983*$F983/100)</f>
        <v/>
      </c>
      <c r="H983" s="18" t="n"/>
      <c r="I983" s="35">
        <f>IF($E983="","",$E983*$H983/100)</f>
        <v/>
      </c>
      <c r="J983" s="35">
        <f>IF($E983="","",$E983+$G983-$I983)</f>
        <v/>
      </c>
      <c r="K983" s="16" t="n"/>
      <c r="L983" s="20">
        <f>IF($A983="","",ROUNDUP(MONTH($A983)/3,0))</f>
        <v/>
      </c>
    </row>
    <row r="984">
      <c r="A984" s="33" t="n"/>
      <c r="B984" s="16" t="n"/>
      <c r="C984" s="16" t="n"/>
      <c r="D984" s="16" t="n"/>
      <c r="E984" s="34" t="n"/>
      <c r="F984" s="18" t="n"/>
      <c r="G984" s="35">
        <f>IF($E984="","",$E984*$F984/100)</f>
        <v/>
      </c>
      <c r="H984" s="18" t="n"/>
      <c r="I984" s="35">
        <f>IF($E984="","",$E984*$H984/100)</f>
        <v/>
      </c>
      <c r="J984" s="35">
        <f>IF($E984="","",$E984+$G984-$I984)</f>
        <v/>
      </c>
      <c r="K984" s="16" t="n"/>
      <c r="L984" s="20">
        <f>IF($A984="","",ROUNDUP(MONTH($A984)/3,0))</f>
        <v/>
      </c>
    </row>
    <row r="985">
      <c r="A985" s="33" t="n"/>
      <c r="B985" s="16" t="n"/>
      <c r="C985" s="16" t="n"/>
      <c r="D985" s="16" t="n"/>
      <c r="E985" s="34" t="n"/>
      <c r="F985" s="18" t="n"/>
      <c r="G985" s="35">
        <f>IF($E985="","",$E985*$F985/100)</f>
        <v/>
      </c>
      <c r="H985" s="18" t="n"/>
      <c r="I985" s="35">
        <f>IF($E985="","",$E985*$H985/100)</f>
        <v/>
      </c>
      <c r="J985" s="35">
        <f>IF($E985="","",$E985+$G985-$I985)</f>
        <v/>
      </c>
      <c r="K985" s="16" t="n"/>
      <c r="L985" s="20">
        <f>IF($A985="","",ROUNDUP(MONTH($A985)/3,0))</f>
        <v/>
      </c>
    </row>
    <row r="986">
      <c r="A986" s="33" t="n"/>
      <c r="B986" s="16" t="n"/>
      <c r="C986" s="16" t="n"/>
      <c r="D986" s="16" t="n"/>
      <c r="E986" s="34" t="n"/>
      <c r="F986" s="18" t="n"/>
      <c r="G986" s="35">
        <f>IF($E986="","",$E986*$F986/100)</f>
        <v/>
      </c>
      <c r="H986" s="18" t="n"/>
      <c r="I986" s="35">
        <f>IF($E986="","",$E986*$H986/100)</f>
        <v/>
      </c>
      <c r="J986" s="35">
        <f>IF($E986="","",$E986+$G986-$I986)</f>
        <v/>
      </c>
      <c r="K986" s="16" t="n"/>
      <c r="L986" s="20">
        <f>IF($A986="","",ROUNDUP(MONTH($A986)/3,0))</f>
        <v/>
      </c>
    </row>
    <row r="987">
      <c r="A987" s="33" t="n"/>
      <c r="B987" s="16" t="n"/>
      <c r="C987" s="16" t="n"/>
      <c r="D987" s="16" t="n"/>
      <c r="E987" s="34" t="n"/>
      <c r="F987" s="18" t="n"/>
      <c r="G987" s="35">
        <f>IF($E987="","",$E987*$F987/100)</f>
        <v/>
      </c>
      <c r="H987" s="18" t="n"/>
      <c r="I987" s="35">
        <f>IF($E987="","",$E987*$H987/100)</f>
        <v/>
      </c>
      <c r="J987" s="35">
        <f>IF($E987="","",$E987+$G987-$I987)</f>
        <v/>
      </c>
      <c r="K987" s="16" t="n"/>
      <c r="L987" s="20">
        <f>IF($A987="","",ROUNDUP(MONTH($A987)/3,0))</f>
        <v/>
      </c>
    </row>
    <row r="988">
      <c r="A988" s="33" t="n"/>
      <c r="B988" s="16" t="n"/>
      <c r="C988" s="16" t="n"/>
      <c r="D988" s="16" t="n"/>
      <c r="E988" s="34" t="n"/>
      <c r="F988" s="18" t="n"/>
      <c r="G988" s="35">
        <f>IF($E988="","",$E988*$F988/100)</f>
        <v/>
      </c>
      <c r="H988" s="18" t="n"/>
      <c r="I988" s="35">
        <f>IF($E988="","",$E988*$H988/100)</f>
        <v/>
      </c>
      <c r="J988" s="35">
        <f>IF($E988="","",$E988+$G988-$I988)</f>
        <v/>
      </c>
      <c r="K988" s="16" t="n"/>
      <c r="L988" s="20">
        <f>IF($A988="","",ROUNDUP(MONTH($A988)/3,0))</f>
        <v/>
      </c>
    </row>
    <row r="989">
      <c r="A989" s="33" t="n"/>
      <c r="B989" s="16" t="n"/>
      <c r="C989" s="16" t="n"/>
      <c r="D989" s="16" t="n"/>
      <c r="E989" s="34" t="n"/>
      <c r="F989" s="18" t="n"/>
      <c r="G989" s="35">
        <f>IF($E989="","",$E989*$F989/100)</f>
        <v/>
      </c>
      <c r="H989" s="18" t="n"/>
      <c r="I989" s="35">
        <f>IF($E989="","",$E989*$H989/100)</f>
        <v/>
      </c>
      <c r="J989" s="35">
        <f>IF($E989="","",$E989+$G989-$I989)</f>
        <v/>
      </c>
      <c r="K989" s="16" t="n"/>
      <c r="L989" s="20">
        <f>IF($A989="","",ROUNDUP(MONTH($A989)/3,0))</f>
        <v/>
      </c>
    </row>
    <row r="990">
      <c r="A990" s="33" t="n"/>
      <c r="B990" s="16" t="n"/>
      <c r="C990" s="16" t="n"/>
      <c r="D990" s="16" t="n"/>
      <c r="E990" s="34" t="n"/>
      <c r="F990" s="18" t="n"/>
      <c r="G990" s="35">
        <f>IF($E990="","",$E990*$F990/100)</f>
        <v/>
      </c>
      <c r="H990" s="18" t="n"/>
      <c r="I990" s="35">
        <f>IF($E990="","",$E990*$H990/100)</f>
        <v/>
      </c>
      <c r="J990" s="35">
        <f>IF($E990="","",$E990+$G990-$I990)</f>
        <v/>
      </c>
      <c r="K990" s="16" t="n"/>
      <c r="L990" s="20">
        <f>IF($A990="","",ROUNDUP(MONTH($A990)/3,0))</f>
        <v/>
      </c>
    </row>
    <row r="991">
      <c r="A991" s="33" t="n"/>
      <c r="B991" s="16" t="n"/>
      <c r="C991" s="16" t="n"/>
      <c r="D991" s="16" t="n"/>
      <c r="E991" s="34" t="n"/>
      <c r="F991" s="18" t="n"/>
      <c r="G991" s="35">
        <f>IF($E991="","",$E991*$F991/100)</f>
        <v/>
      </c>
      <c r="H991" s="18" t="n"/>
      <c r="I991" s="35">
        <f>IF($E991="","",$E991*$H991/100)</f>
        <v/>
      </c>
      <c r="J991" s="35">
        <f>IF($E991="","",$E991+$G991-$I991)</f>
        <v/>
      </c>
      <c r="K991" s="16" t="n"/>
      <c r="L991" s="20">
        <f>IF($A991="","",ROUNDUP(MONTH($A991)/3,0))</f>
        <v/>
      </c>
    </row>
    <row r="992">
      <c r="A992" s="33" t="n"/>
      <c r="B992" s="16" t="n"/>
      <c r="C992" s="16" t="n"/>
      <c r="D992" s="16" t="n"/>
      <c r="E992" s="34" t="n"/>
      <c r="F992" s="18" t="n"/>
      <c r="G992" s="35">
        <f>IF($E992="","",$E992*$F992/100)</f>
        <v/>
      </c>
      <c r="H992" s="18" t="n"/>
      <c r="I992" s="35">
        <f>IF($E992="","",$E992*$H992/100)</f>
        <v/>
      </c>
      <c r="J992" s="35">
        <f>IF($E992="","",$E992+$G992-$I992)</f>
        <v/>
      </c>
      <c r="K992" s="16" t="n"/>
      <c r="L992" s="20">
        <f>IF($A992="","",ROUNDUP(MONTH($A992)/3,0))</f>
        <v/>
      </c>
    </row>
    <row r="993">
      <c r="A993" s="33" t="n"/>
      <c r="B993" s="16" t="n"/>
      <c r="C993" s="16" t="n"/>
      <c r="D993" s="16" t="n"/>
      <c r="E993" s="34" t="n"/>
      <c r="F993" s="18" t="n"/>
      <c r="G993" s="35">
        <f>IF($E993="","",$E993*$F993/100)</f>
        <v/>
      </c>
      <c r="H993" s="18" t="n"/>
      <c r="I993" s="35">
        <f>IF($E993="","",$E993*$H993/100)</f>
        <v/>
      </c>
      <c r="J993" s="35">
        <f>IF($E993="","",$E993+$G993-$I993)</f>
        <v/>
      </c>
      <c r="K993" s="16" t="n"/>
      <c r="L993" s="20">
        <f>IF($A993="","",ROUNDUP(MONTH($A993)/3,0))</f>
        <v/>
      </c>
    </row>
    <row r="994">
      <c r="A994" s="33" t="n"/>
      <c r="B994" s="16" t="n"/>
      <c r="C994" s="16" t="n"/>
      <c r="D994" s="16" t="n"/>
      <c r="E994" s="34" t="n"/>
      <c r="F994" s="18" t="n"/>
      <c r="G994" s="35">
        <f>IF($E994="","",$E994*$F994/100)</f>
        <v/>
      </c>
      <c r="H994" s="18" t="n"/>
      <c r="I994" s="35">
        <f>IF($E994="","",$E994*$H994/100)</f>
        <v/>
      </c>
      <c r="J994" s="35">
        <f>IF($E994="","",$E994+$G994-$I994)</f>
        <v/>
      </c>
      <c r="K994" s="16" t="n"/>
      <c r="L994" s="20">
        <f>IF($A994="","",ROUNDUP(MONTH($A994)/3,0))</f>
        <v/>
      </c>
    </row>
    <row r="995">
      <c r="A995" s="33" t="n"/>
      <c r="B995" s="16" t="n"/>
      <c r="C995" s="16" t="n"/>
      <c r="D995" s="16" t="n"/>
      <c r="E995" s="34" t="n"/>
      <c r="F995" s="18" t="n"/>
      <c r="G995" s="35">
        <f>IF($E995="","",$E995*$F995/100)</f>
        <v/>
      </c>
      <c r="H995" s="18" t="n"/>
      <c r="I995" s="35">
        <f>IF($E995="","",$E995*$H995/100)</f>
        <v/>
      </c>
      <c r="J995" s="35">
        <f>IF($E995="","",$E995+$G995-$I995)</f>
        <v/>
      </c>
      <c r="K995" s="16" t="n"/>
      <c r="L995" s="20">
        <f>IF($A995="","",ROUNDUP(MONTH($A995)/3,0))</f>
        <v/>
      </c>
    </row>
    <row r="996">
      <c r="A996" s="33" t="n"/>
      <c r="B996" s="16" t="n"/>
      <c r="C996" s="16" t="n"/>
      <c r="D996" s="16" t="n"/>
      <c r="E996" s="34" t="n"/>
      <c r="F996" s="18" t="n"/>
      <c r="G996" s="35">
        <f>IF($E996="","",$E996*$F996/100)</f>
        <v/>
      </c>
      <c r="H996" s="18" t="n"/>
      <c r="I996" s="35">
        <f>IF($E996="","",$E996*$H996/100)</f>
        <v/>
      </c>
      <c r="J996" s="35">
        <f>IF($E996="","",$E996+$G996-$I996)</f>
        <v/>
      </c>
      <c r="K996" s="16" t="n"/>
      <c r="L996" s="20">
        <f>IF($A996="","",ROUNDUP(MONTH($A996)/3,0))</f>
        <v/>
      </c>
    </row>
    <row r="997">
      <c r="A997" s="33" t="n"/>
      <c r="B997" s="16" t="n"/>
      <c r="C997" s="16" t="n"/>
      <c r="D997" s="16" t="n"/>
      <c r="E997" s="34" t="n"/>
      <c r="F997" s="18" t="n"/>
      <c r="G997" s="35">
        <f>IF($E997="","",$E997*$F997/100)</f>
        <v/>
      </c>
      <c r="H997" s="18" t="n"/>
      <c r="I997" s="35">
        <f>IF($E997="","",$E997*$H997/100)</f>
        <v/>
      </c>
      <c r="J997" s="35">
        <f>IF($E997="","",$E997+$G997-$I997)</f>
        <v/>
      </c>
      <c r="K997" s="16" t="n"/>
      <c r="L997" s="20">
        <f>IF($A997="","",ROUNDUP(MONTH($A997)/3,0))</f>
        <v/>
      </c>
    </row>
    <row r="998">
      <c r="A998" s="33" t="n"/>
      <c r="B998" s="16" t="n"/>
      <c r="C998" s="16" t="n"/>
      <c r="D998" s="16" t="n"/>
      <c r="E998" s="34" t="n"/>
      <c r="F998" s="18" t="n"/>
      <c r="G998" s="35">
        <f>IF($E998="","",$E998*$F998/100)</f>
        <v/>
      </c>
      <c r="H998" s="18" t="n"/>
      <c r="I998" s="35">
        <f>IF($E998="","",$E998*$H998/100)</f>
        <v/>
      </c>
      <c r="J998" s="35">
        <f>IF($E998="","",$E998+$G998-$I998)</f>
        <v/>
      </c>
      <c r="K998" s="16" t="n"/>
      <c r="L998" s="20">
        <f>IF($A998="","",ROUNDUP(MONTH($A998)/3,0))</f>
        <v/>
      </c>
    </row>
    <row r="999">
      <c r="A999" s="33" t="n"/>
      <c r="B999" s="16" t="n"/>
      <c r="C999" s="16" t="n"/>
      <c r="D999" s="16" t="n"/>
      <c r="E999" s="34" t="n"/>
      <c r="F999" s="18" t="n"/>
      <c r="G999" s="35">
        <f>IF($E999="","",$E999*$F999/100)</f>
        <v/>
      </c>
      <c r="H999" s="18" t="n"/>
      <c r="I999" s="35">
        <f>IF($E999="","",$E999*$H999/100)</f>
        <v/>
      </c>
      <c r="J999" s="35">
        <f>IF($E999="","",$E999+$G999-$I999)</f>
        <v/>
      </c>
      <c r="K999" s="16" t="n"/>
      <c r="L999" s="20">
        <f>IF($A999="","",ROUNDUP(MONTH($A999)/3,0))</f>
        <v/>
      </c>
    </row>
    <row r="1000">
      <c r="A1000" s="33" t="n"/>
      <c r="B1000" s="16" t="n"/>
      <c r="C1000" s="16" t="n"/>
      <c r="D1000" s="16" t="n"/>
      <c r="E1000" s="34" t="n"/>
      <c r="F1000" s="18" t="n"/>
      <c r="G1000" s="35">
        <f>IF($E1000="","",$E1000*$F1000/100)</f>
        <v/>
      </c>
      <c r="H1000" s="18" t="n"/>
      <c r="I1000" s="35">
        <f>IF($E1000="","",$E1000*$H1000/100)</f>
        <v/>
      </c>
      <c r="J1000" s="35">
        <f>IF($E1000="","",$E1000+$G1000-$I1000)</f>
        <v/>
      </c>
      <c r="K1000" s="16" t="n"/>
      <c r="L1000" s="20">
        <f>IF($A1000="","",ROUNDUP(MONTH($A1000)/3,0))</f>
        <v/>
      </c>
    </row>
  </sheetData>
  <mergeCells count="1">
    <mergeCell ref="A1:L1"/>
  </mergeCells>
  <dataValidations count="3">
    <dataValidation sqref="F3:F1000" showDropDown="0" showInputMessage="0" showErrorMessage="0" allowBlank="1" type="list">
      <formula1>"21,10,4,0"</formula1>
    </dataValidation>
    <dataValidation sqref="H3:H1000" showDropDown="0" showInputMessage="0" showErrorMessage="0" allowBlank="1" type="list">
      <formula1>"15,7,1,0"</formula1>
    </dataValidation>
    <dataValidation sqref="K3:K10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2" customWidth="1" min="4" max="4"/>
    <col width="22" customWidth="1" min="5" max="5"/>
    <col width="13" customWidth="1" min="6" max="6"/>
    <col width="7" customWidth="1" min="7" max="7"/>
    <col width="11" customWidth="1" min="8" max="8"/>
    <col width="11" customWidth="1" min="9" max="9"/>
    <col width="12" customWidth="1" min="10" max="10"/>
    <col width="11" customWidth="1" min="11" max="11"/>
    <col width="13" customWidth="1" min="12" max="12"/>
    <col width="7" customWidth="1" min="13" max="13"/>
  </cols>
  <sheetData>
    <row r="1" ht="28" customHeight="1">
      <c r="A1" s="13" t="inlineStr">
        <is>
          <t>GASTOS DEDUCIBLES</t>
        </is>
      </c>
    </row>
    <row r="2">
      <c r="A2" s="14" t="inlineStr">
        <is>
          <t>Fecha</t>
        </is>
      </c>
      <c r="B2" s="14" t="inlineStr">
        <is>
          <t>Proveedor</t>
        </is>
      </c>
      <c r="C2" s="14" t="inlineStr">
        <is>
          <t>NIF</t>
        </is>
      </c>
      <c r="D2" s="14" t="inlineStr">
        <is>
          <t>Concepto</t>
        </is>
      </c>
      <c r="E2" s="14" t="inlineStr">
        <is>
          <t>Categoría</t>
        </is>
      </c>
      <c r="F2" s="14" t="inlineStr">
        <is>
          <t>Base imponible</t>
        </is>
      </c>
      <c r="G2" s="14" t="inlineStr">
        <is>
          <t>IVA %</t>
        </is>
      </c>
      <c r="H2" s="14" t="inlineStr">
        <is>
          <t>Cuota IVA</t>
        </is>
      </c>
      <c r="I2" s="14" t="inlineStr">
        <is>
          <t>% deduc. IVA</t>
        </is>
      </c>
      <c r="J2" s="14" t="inlineStr">
        <is>
          <t>IVA deducible</t>
        </is>
      </c>
      <c r="K2" s="14" t="inlineStr">
        <is>
          <t>% deduc. IRPF</t>
        </is>
      </c>
      <c r="L2" s="14" t="inlineStr">
        <is>
          <t>Gasto deducible</t>
        </is>
      </c>
      <c r="M2" s="14" t="inlineStr">
        <is>
          <t>Trim.</t>
        </is>
      </c>
    </row>
    <row r="3">
      <c r="A3" s="33" t="n">
        <v>46032</v>
      </c>
      <c r="B3" s="16" t="inlineStr">
        <is>
          <t>Movistar</t>
        </is>
      </c>
      <c r="C3" s="16" t="inlineStr">
        <is>
          <t>A82018474</t>
        </is>
      </c>
      <c r="D3" s="16" t="inlineStr">
        <is>
          <t>Internet y móvil</t>
        </is>
      </c>
      <c r="E3" s="16" t="inlineStr">
        <is>
          <t>Suministros (luz/agua/internet)</t>
        </is>
      </c>
      <c r="F3" s="34" t="n">
        <v>50</v>
      </c>
      <c r="G3" s="18" t="n">
        <v>21</v>
      </c>
      <c r="H3" s="35">
        <f>IF($F3="","",$F3*$G3/100)</f>
        <v/>
      </c>
      <c r="I3" s="18" t="n">
        <v>100</v>
      </c>
      <c r="J3" s="35">
        <f>IF($F3="","",$H3*$I3/100)</f>
        <v/>
      </c>
      <c r="K3" s="18" t="n">
        <v>100</v>
      </c>
      <c r="L3" s="35">
        <f>IF($F3="","",$F3*$K3/100)</f>
        <v/>
      </c>
      <c r="M3" s="20">
        <f>IF($A3="","",ROUNDUP(MONTH($A3)/3,0))</f>
        <v/>
      </c>
    </row>
    <row r="4">
      <c r="A4" s="33" t="n">
        <v>46053</v>
      </c>
      <c r="B4" s="16" t="inlineStr">
        <is>
          <t>Tesorería SS</t>
        </is>
      </c>
      <c r="C4" s="16" t="inlineStr"/>
      <c r="D4" s="16" t="inlineStr">
        <is>
          <t>Cuota RETA</t>
        </is>
      </c>
      <c r="E4" s="16" t="inlineStr">
        <is>
          <t>Cuota autónomos (RETA)</t>
        </is>
      </c>
      <c r="F4" s="34" t="n">
        <v>80</v>
      </c>
      <c r="G4" s="18" t="n">
        <v>0</v>
      </c>
      <c r="H4" s="35">
        <f>IF($F4="","",$F4*$G4/100)</f>
        <v/>
      </c>
      <c r="I4" s="18" t="n">
        <v>0</v>
      </c>
      <c r="J4" s="35">
        <f>IF($F4="","",$H4*$I4/100)</f>
        <v/>
      </c>
      <c r="K4" s="18" t="n">
        <v>100</v>
      </c>
      <c r="L4" s="35">
        <f>IF($F4="","",$F4*$K4/100)</f>
        <v/>
      </c>
      <c r="M4" s="20">
        <f>IF($A4="","",ROUNDUP(MONTH($A4)/3,0))</f>
        <v/>
      </c>
    </row>
    <row r="5">
      <c r="A5" s="33" t="n"/>
      <c r="B5" s="16" t="n"/>
      <c r="C5" s="16" t="n"/>
      <c r="D5" s="16" t="n"/>
      <c r="E5" s="16" t="n"/>
      <c r="F5" s="34" t="n"/>
      <c r="G5" s="18" t="n"/>
      <c r="H5" s="35">
        <f>IF($F5="","",$F5*$G5/100)</f>
        <v/>
      </c>
      <c r="I5" s="18" t="n"/>
      <c r="J5" s="35">
        <f>IF($F5="","",$H5*$I5/100)</f>
        <v/>
      </c>
      <c r="K5" s="18" t="n"/>
      <c r="L5" s="35">
        <f>IF($F5="","",$F5*$K5/100)</f>
        <v/>
      </c>
      <c r="M5" s="20">
        <f>IF($A5="","",ROUNDUP(MONTH($A5)/3,0))</f>
        <v/>
      </c>
    </row>
    <row r="6">
      <c r="A6" s="33" t="n"/>
      <c r="B6" s="16" t="n"/>
      <c r="C6" s="16" t="n"/>
      <c r="D6" s="16" t="n"/>
      <c r="E6" s="16" t="n"/>
      <c r="F6" s="34" t="n"/>
      <c r="G6" s="18" t="n"/>
      <c r="H6" s="35">
        <f>IF($F6="","",$F6*$G6/100)</f>
        <v/>
      </c>
      <c r="I6" s="18" t="n"/>
      <c r="J6" s="35">
        <f>IF($F6="","",$H6*$I6/100)</f>
        <v/>
      </c>
      <c r="K6" s="18" t="n"/>
      <c r="L6" s="35">
        <f>IF($F6="","",$F6*$K6/100)</f>
        <v/>
      </c>
      <c r="M6" s="20">
        <f>IF($A6="","",ROUNDUP(MONTH($A6)/3,0))</f>
        <v/>
      </c>
    </row>
    <row r="7">
      <c r="A7" s="33" t="n"/>
      <c r="B7" s="16" t="n"/>
      <c r="C7" s="16" t="n"/>
      <c r="D7" s="16" t="n"/>
      <c r="E7" s="16" t="n"/>
      <c r="F7" s="34" t="n"/>
      <c r="G7" s="18" t="n"/>
      <c r="H7" s="35">
        <f>IF($F7="","",$F7*$G7/100)</f>
        <v/>
      </c>
      <c r="I7" s="18" t="n"/>
      <c r="J7" s="35">
        <f>IF($F7="","",$H7*$I7/100)</f>
        <v/>
      </c>
      <c r="K7" s="18" t="n"/>
      <c r="L7" s="35">
        <f>IF($F7="","",$F7*$K7/100)</f>
        <v/>
      </c>
      <c r="M7" s="20">
        <f>IF($A7="","",ROUNDUP(MONTH($A7)/3,0))</f>
        <v/>
      </c>
    </row>
    <row r="8">
      <c r="A8" s="33" t="n"/>
      <c r="B8" s="16" t="n"/>
      <c r="C8" s="16" t="n"/>
      <c r="D8" s="16" t="n"/>
      <c r="E8" s="16" t="n"/>
      <c r="F8" s="34" t="n"/>
      <c r="G8" s="18" t="n"/>
      <c r="H8" s="35">
        <f>IF($F8="","",$F8*$G8/100)</f>
        <v/>
      </c>
      <c r="I8" s="18" t="n"/>
      <c r="J8" s="35">
        <f>IF($F8="","",$H8*$I8/100)</f>
        <v/>
      </c>
      <c r="K8" s="18" t="n"/>
      <c r="L8" s="35">
        <f>IF($F8="","",$F8*$K8/100)</f>
        <v/>
      </c>
      <c r="M8" s="20">
        <f>IF($A8="","",ROUNDUP(MONTH($A8)/3,0))</f>
        <v/>
      </c>
    </row>
    <row r="9">
      <c r="A9" s="33" t="n"/>
      <c r="B9" s="16" t="n"/>
      <c r="C9" s="16" t="n"/>
      <c r="D9" s="16" t="n"/>
      <c r="E9" s="16" t="n"/>
      <c r="F9" s="34" t="n"/>
      <c r="G9" s="18" t="n"/>
      <c r="H9" s="35">
        <f>IF($F9="","",$F9*$G9/100)</f>
        <v/>
      </c>
      <c r="I9" s="18" t="n"/>
      <c r="J9" s="35">
        <f>IF($F9="","",$H9*$I9/100)</f>
        <v/>
      </c>
      <c r="K9" s="18" t="n"/>
      <c r="L9" s="35">
        <f>IF($F9="","",$F9*$K9/100)</f>
        <v/>
      </c>
      <c r="M9" s="20">
        <f>IF($A9="","",ROUNDUP(MONTH($A9)/3,0))</f>
        <v/>
      </c>
    </row>
    <row r="10">
      <c r="A10" s="33" t="n"/>
      <c r="B10" s="16" t="n"/>
      <c r="C10" s="16" t="n"/>
      <c r="D10" s="16" t="n"/>
      <c r="E10" s="16" t="n"/>
      <c r="F10" s="34" t="n"/>
      <c r="G10" s="18" t="n"/>
      <c r="H10" s="35">
        <f>IF($F10="","",$F10*$G10/100)</f>
        <v/>
      </c>
      <c r="I10" s="18" t="n"/>
      <c r="J10" s="35">
        <f>IF($F10="","",$H10*$I10/100)</f>
        <v/>
      </c>
      <c r="K10" s="18" t="n"/>
      <c r="L10" s="35">
        <f>IF($F10="","",$F10*$K10/100)</f>
        <v/>
      </c>
      <c r="M10" s="20">
        <f>IF($A10="","",ROUNDUP(MONTH($A10)/3,0))</f>
        <v/>
      </c>
    </row>
    <row r="11">
      <c r="A11" s="33" t="n"/>
      <c r="B11" s="16" t="n"/>
      <c r="C11" s="16" t="n"/>
      <c r="D11" s="16" t="n"/>
      <c r="E11" s="16" t="n"/>
      <c r="F11" s="34" t="n"/>
      <c r="G11" s="18" t="n"/>
      <c r="H11" s="35">
        <f>IF($F11="","",$F11*$G11/100)</f>
        <v/>
      </c>
      <c r="I11" s="18" t="n"/>
      <c r="J11" s="35">
        <f>IF($F11="","",$H11*$I11/100)</f>
        <v/>
      </c>
      <c r="K11" s="18" t="n"/>
      <c r="L11" s="35">
        <f>IF($F11="","",$F11*$K11/100)</f>
        <v/>
      </c>
      <c r="M11" s="20">
        <f>IF($A11="","",ROUNDUP(MONTH($A11)/3,0))</f>
        <v/>
      </c>
    </row>
    <row r="12">
      <c r="A12" s="33" t="n"/>
      <c r="B12" s="16" t="n"/>
      <c r="C12" s="16" t="n"/>
      <c r="D12" s="16" t="n"/>
      <c r="E12" s="16" t="n"/>
      <c r="F12" s="34" t="n"/>
      <c r="G12" s="18" t="n"/>
      <c r="H12" s="35">
        <f>IF($F12="","",$F12*$G12/100)</f>
        <v/>
      </c>
      <c r="I12" s="18" t="n"/>
      <c r="J12" s="35">
        <f>IF($F12="","",$H12*$I12/100)</f>
        <v/>
      </c>
      <c r="K12" s="18" t="n"/>
      <c r="L12" s="35">
        <f>IF($F12="","",$F12*$K12/100)</f>
        <v/>
      </c>
      <c r="M12" s="20">
        <f>IF($A12="","",ROUNDUP(MONTH($A12)/3,0))</f>
        <v/>
      </c>
    </row>
    <row r="13">
      <c r="A13" s="33" t="n"/>
      <c r="B13" s="16" t="n"/>
      <c r="C13" s="16" t="n"/>
      <c r="D13" s="16" t="n"/>
      <c r="E13" s="16" t="n"/>
      <c r="F13" s="34" t="n"/>
      <c r="G13" s="18" t="n"/>
      <c r="H13" s="35">
        <f>IF($F13="","",$F13*$G13/100)</f>
        <v/>
      </c>
      <c r="I13" s="18" t="n"/>
      <c r="J13" s="35">
        <f>IF($F13="","",$H13*$I13/100)</f>
        <v/>
      </c>
      <c r="K13" s="18" t="n"/>
      <c r="L13" s="35">
        <f>IF($F13="","",$F13*$K13/100)</f>
        <v/>
      </c>
      <c r="M13" s="20">
        <f>IF($A13="","",ROUNDUP(MONTH($A13)/3,0))</f>
        <v/>
      </c>
    </row>
    <row r="14">
      <c r="A14" s="33" t="n"/>
      <c r="B14" s="16" t="n"/>
      <c r="C14" s="16" t="n"/>
      <c r="D14" s="16" t="n"/>
      <c r="E14" s="16" t="n"/>
      <c r="F14" s="34" t="n"/>
      <c r="G14" s="18" t="n"/>
      <c r="H14" s="35">
        <f>IF($F14="","",$F14*$G14/100)</f>
        <v/>
      </c>
      <c r="I14" s="18" t="n"/>
      <c r="J14" s="35">
        <f>IF($F14="","",$H14*$I14/100)</f>
        <v/>
      </c>
      <c r="K14" s="18" t="n"/>
      <c r="L14" s="35">
        <f>IF($F14="","",$F14*$K14/100)</f>
        <v/>
      </c>
      <c r="M14" s="20">
        <f>IF($A14="","",ROUNDUP(MONTH($A14)/3,0))</f>
        <v/>
      </c>
    </row>
    <row r="15">
      <c r="A15" s="33" t="n"/>
      <c r="B15" s="16" t="n"/>
      <c r="C15" s="16" t="n"/>
      <c r="D15" s="16" t="n"/>
      <c r="E15" s="16" t="n"/>
      <c r="F15" s="34" t="n"/>
      <c r="G15" s="18" t="n"/>
      <c r="H15" s="35">
        <f>IF($F15="","",$F15*$G15/100)</f>
        <v/>
      </c>
      <c r="I15" s="18" t="n"/>
      <c r="J15" s="35">
        <f>IF($F15="","",$H15*$I15/100)</f>
        <v/>
      </c>
      <c r="K15" s="18" t="n"/>
      <c r="L15" s="35">
        <f>IF($F15="","",$F15*$K15/100)</f>
        <v/>
      </c>
      <c r="M15" s="20">
        <f>IF($A15="","",ROUNDUP(MONTH($A15)/3,0))</f>
        <v/>
      </c>
    </row>
    <row r="16">
      <c r="A16" s="33" t="n"/>
      <c r="B16" s="16" t="n"/>
      <c r="C16" s="16" t="n"/>
      <c r="D16" s="16" t="n"/>
      <c r="E16" s="16" t="n"/>
      <c r="F16" s="34" t="n"/>
      <c r="G16" s="18" t="n"/>
      <c r="H16" s="35">
        <f>IF($F16="","",$F16*$G16/100)</f>
        <v/>
      </c>
      <c r="I16" s="18" t="n"/>
      <c r="J16" s="35">
        <f>IF($F16="","",$H16*$I16/100)</f>
        <v/>
      </c>
      <c r="K16" s="18" t="n"/>
      <c r="L16" s="35">
        <f>IF($F16="","",$F16*$K16/100)</f>
        <v/>
      </c>
      <c r="M16" s="20">
        <f>IF($A16="","",ROUNDUP(MONTH($A16)/3,0))</f>
        <v/>
      </c>
    </row>
    <row r="17">
      <c r="A17" s="33" t="n"/>
      <c r="B17" s="16" t="n"/>
      <c r="C17" s="16" t="n"/>
      <c r="D17" s="16" t="n"/>
      <c r="E17" s="16" t="n"/>
      <c r="F17" s="34" t="n"/>
      <c r="G17" s="18" t="n"/>
      <c r="H17" s="35">
        <f>IF($F17="","",$F17*$G17/100)</f>
        <v/>
      </c>
      <c r="I17" s="18" t="n"/>
      <c r="J17" s="35">
        <f>IF($F17="","",$H17*$I17/100)</f>
        <v/>
      </c>
      <c r="K17" s="18" t="n"/>
      <c r="L17" s="35">
        <f>IF($F17="","",$F17*$K17/100)</f>
        <v/>
      </c>
      <c r="M17" s="20">
        <f>IF($A17="","",ROUNDUP(MONTH($A17)/3,0))</f>
        <v/>
      </c>
    </row>
    <row r="18">
      <c r="A18" s="33" t="n"/>
      <c r="B18" s="16" t="n"/>
      <c r="C18" s="16" t="n"/>
      <c r="D18" s="16" t="n"/>
      <c r="E18" s="16" t="n"/>
      <c r="F18" s="34" t="n"/>
      <c r="G18" s="18" t="n"/>
      <c r="H18" s="35">
        <f>IF($F18="","",$F18*$G18/100)</f>
        <v/>
      </c>
      <c r="I18" s="18" t="n"/>
      <c r="J18" s="35">
        <f>IF($F18="","",$H18*$I18/100)</f>
        <v/>
      </c>
      <c r="K18" s="18" t="n"/>
      <c r="L18" s="35">
        <f>IF($F18="","",$F18*$K18/100)</f>
        <v/>
      </c>
      <c r="M18" s="20">
        <f>IF($A18="","",ROUNDUP(MONTH($A18)/3,0))</f>
        <v/>
      </c>
    </row>
    <row r="19">
      <c r="A19" s="33" t="n"/>
      <c r="B19" s="16" t="n"/>
      <c r="C19" s="16" t="n"/>
      <c r="D19" s="16" t="n"/>
      <c r="E19" s="16" t="n"/>
      <c r="F19" s="34" t="n"/>
      <c r="G19" s="18" t="n"/>
      <c r="H19" s="35">
        <f>IF($F19="","",$F19*$G19/100)</f>
        <v/>
      </c>
      <c r="I19" s="18" t="n"/>
      <c r="J19" s="35">
        <f>IF($F19="","",$H19*$I19/100)</f>
        <v/>
      </c>
      <c r="K19" s="18" t="n"/>
      <c r="L19" s="35">
        <f>IF($F19="","",$F19*$K19/100)</f>
        <v/>
      </c>
      <c r="M19" s="20">
        <f>IF($A19="","",ROUNDUP(MONTH($A19)/3,0))</f>
        <v/>
      </c>
    </row>
    <row r="20">
      <c r="A20" s="33" t="n"/>
      <c r="B20" s="16" t="n"/>
      <c r="C20" s="16" t="n"/>
      <c r="D20" s="16" t="n"/>
      <c r="E20" s="16" t="n"/>
      <c r="F20" s="34" t="n"/>
      <c r="G20" s="18" t="n"/>
      <c r="H20" s="35">
        <f>IF($F20="","",$F20*$G20/100)</f>
        <v/>
      </c>
      <c r="I20" s="18" t="n"/>
      <c r="J20" s="35">
        <f>IF($F20="","",$H20*$I20/100)</f>
        <v/>
      </c>
      <c r="K20" s="18" t="n"/>
      <c r="L20" s="35">
        <f>IF($F20="","",$F20*$K20/100)</f>
        <v/>
      </c>
      <c r="M20" s="20">
        <f>IF($A20="","",ROUNDUP(MONTH($A20)/3,0))</f>
        <v/>
      </c>
    </row>
    <row r="21">
      <c r="A21" s="33" t="n"/>
      <c r="B21" s="16" t="n"/>
      <c r="C21" s="16" t="n"/>
      <c r="D21" s="16" t="n"/>
      <c r="E21" s="16" t="n"/>
      <c r="F21" s="34" t="n"/>
      <c r="G21" s="18" t="n"/>
      <c r="H21" s="35">
        <f>IF($F21="","",$F21*$G21/100)</f>
        <v/>
      </c>
      <c r="I21" s="18" t="n"/>
      <c r="J21" s="35">
        <f>IF($F21="","",$H21*$I21/100)</f>
        <v/>
      </c>
      <c r="K21" s="18" t="n"/>
      <c r="L21" s="35">
        <f>IF($F21="","",$F21*$K21/100)</f>
        <v/>
      </c>
      <c r="M21" s="20">
        <f>IF($A21="","",ROUNDUP(MONTH($A21)/3,0))</f>
        <v/>
      </c>
    </row>
    <row r="22">
      <c r="A22" s="33" t="n"/>
      <c r="B22" s="16" t="n"/>
      <c r="C22" s="16" t="n"/>
      <c r="D22" s="16" t="n"/>
      <c r="E22" s="16" t="n"/>
      <c r="F22" s="34" t="n"/>
      <c r="G22" s="18" t="n"/>
      <c r="H22" s="35">
        <f>IF($F22="","",$F22*$G22/100)</f>
        <v/>
      </c>
      <c r="I22" s="18" t="n"/>
      <c r="J22" s="35">
        <f>IF($F22="","",$H22*$I22/100)</f>
        <v/>
      </c>
      <c r="K22" s="18" t="n"/>
      <c r="L22" s="35">
        <f>IF($F22="","",$F22*$K22/100)</f>
        <v/>
      </c>
      <c r="M22" s="20">
        <f>IF($A22="","",ROUNDUP(MONTH($A22)/3,0))</f>
        <v/>
      </c>
    </row>
    <row r="23">
      <c r="A23" s="33" t="n"/>
      <c r="B23" s="16" t="n"/>
      <c r="C23" s="16" t="n"/>
      <c r="D23" s="16" t="n"/>
      <c r="E23" s="16" t="n"/>
      <c r="F23" s="34" t="n"/>
      <c r="G23" s="18" t="n"/>
      <c r="H23" s="35">
        <f>IF($F23="","",$F23*$G23/100)</f>
        <v/>
      </c>
      <c r="I23" s="18" t="n"/>
      <c r="J23" s="35">
        <f>IF($F23="","",$H23*$I23/100)</f>
        <v/>
      </c>
      <c r="K23" s="18" t="n"/>
      <c r="L23" s="35">
        <f>IF($F23="","",$F23*$K23/100)</f>
        <v/>
      </c>
      <c r="M23" s="20">
        <f>IF($A23="","",ROUNDUP(MONTH($A23)/3,0))</f>
        <v/>
      </c>
    </row>
    <row r="24">
      <c r="A24" s="33" t="n"/>
      <c r="B24" s="16" t="n"/>
      <c r="C24" s="16" t="n"/>
      <c r="D24" s="16" t="n"/>
      <c r="E24" s="16" t="n"/>
      <c r="F24" s="34" t="n"/>
      <c r="G24" s="18" t="n"/>
      <c r="H24" s="35">
        <f>IF($F24="","",$F24*$G24/100)</f>
        <v/>
      </c>
      <c r="I24" s="18" t="n"/>
      <c r="J24" s="35">
        <f>IF($F24="","",$H24*$I24/100)</f>
        <v/>
      </c>
      <c r="K24" s="18" t="n"/>
      <c r="L24" s="35">
        <f>IF($F24="","",$F24*$K24/100)</f>
        <v/>
      </c>
      <c r="M24" s="20">
        <f>IF($A24="","",ROUNDUP(MONTH($A24)/3,0))</f>
        <v/>
      </c>
    </row>
    <row r="25">
      <c r="A25" s="33" t="n"/>
      <c r="B25" s="16" t="n"/>
      <c r="C25" s="16" t="n"/>
      <c r="D25" s="16" t="n"/>
      <c r="E25" s="16" t="n"/>
      <c r="F25" s="34" t="n"/>
      <c r="G25" s="18" t="n"/>
      <c r="H25" s="35">
        <f>IF($F25="","",$F25*$G25/100)</f>
        <v/>
      </c>
      <c r="I25" s="18" t="n"/>
      <c r="J25" s="35">
        <f>IF($F25="","",$H25*$I25/100)</f>
        <v/>
      </c>
      <c r="K25" s="18" t="n"/>
      <c r="L25" s="35">
        <f>IF($F25="","",$F25*$K25/100)</f>
        <v/>
      </c>
      <c r="M25" s="20">
        <f>IF($A25="","",ROUNDUP(MONTH($A25)/3,0))</f>
        <v/>
      </c>
    </row>
    <row r="26">
      <c r="A26" s="33" t="n"/>
      <c r="B26" s="16" t="n"/>
      <c r="C26" s="16" t="n"/>
      <c r="D26" s="16" t="n"/>
      <c r="E26" s="16" t="n"/>
      <c r="F26" s="34" t="n"/>
      <c r="G26" s="18" t="n"/>
      <c r="H26" s="35">
        <f>IF($F26="","",$F26*$G26/100)</f>
        <v/>
      </c>
      <c r="I26" s="18" t="n"/>
      <c r="J26" s="35">
        <f>IF($F26="","",$H26*$I26/100)</f>
        <v/>
      </c>
      <c r="K26" s="18" t="n"/>
      <c r="L26" s="35">
        <f>IF($F26="","",$F26*$K26/100)</f>
        <v/>
      </c>
      <c r="M26" s="20">
        <f>IF($A26="","",ROUNDUP(MONTH($A26)/3,0))</f>
        <v/>
      </c>
    </row>
    <row r="27">
      <c r="A27" s="33" t="n"/>
      <c r="B27" s="16" t="n"/>
      <c r="C27" s="16" t="n"/>
      <c r="D27" s="16" t="n"/>
      <c r="E27" s="16" t="n"/>
      <c r="F27" s="34" t="n"/>
      <c r="G27" s="18" t="n"/>
      <c r="H27" s="35">
        <f>IF($F27="","",$F27*$G27/100)</f>
        <v/>
      </c>
      <c r="I27" s="18" t="n"/>
      <c r="J27" s="35">
        <f>IF($F27="","",$H27*$I27/100)</f>
        <v/>
      </c>
      <c r="K27" s="18" t="n"/>
      <c r="L27" s="35">
        <f>IF($F27="","",$F27*$K27/100)</f>
        <v/>
      </c>
      <c r="M27" s="20">
        <f>IF($A27="","",ROUNDUP(MONTH($A27)/3,0))</f>
        <v/>
      </c>
    </row>
    <row r="28">
      <c r="A28" s="33" t="n"/>
      <c r="B28" s="16" t="n"/>
      <c r="C28" s="16" t="n"/>
      <c r="D28" s="16" t="n"/>
      <c r="E28" s="16" t="n"/>
      <c r="F28" s="34" t="n"/>
      <c r="G28" s="18" t="n"/>
      <c r="H28" s="35">
        <f>IF($F28="","",$F28*$G28/100)</f>
        <v/>
      </c>
      <c r="I28" s="18" t="n"/>
      <c r="J28" s="35">
        <f>IF($F28="","",$H28*$I28/100)</f>
        <v/>
      </c>
      <c r="K28" s="18" t="n"/>
      <c r="L28" s="35">
        <f>IF($F28="","",$F28*$K28/100)</f>
        <v/>
      </c>
      <c r="M28" s="20">
        <f>IF($A28="","",ROUNDUP(MONTH($A28)/3,0))</f>
        <v/>
      </c>
    </row>
    <row r="29">
      <c r="A29" s="33" t="n"/>
      <c r="B29" s="16" t="n"/>
      <c r="C29" s="16" t="n"/>
      <c r="D29" s="16" t="n"/>
      <c r="E29" s="16" t="n"/>
      <c r="F29" s="34" t="n"/>
      <c r="G29" s="18" t="n"/>
      <c r="H29" s="35">
        <f>IF($F29="","",$F29*$G29/100)</f>
        <v/>
      </c>
      <c r="I29" s="18" t="n"/>
      <c r="J29" s="35">
        <f>IF($F29="","",$H29*$I29/100)</f>
        <v/>
      </c>
      <c r="K29" s="18" t="n"/>
      <c r="L29" s="35">
        <f>IF($F29="","",$F29*$K29/100)</f>
        <v/>
      </c>
      <c r="M29" s="20">
        <f>IF($A29="","",ROUNDUP(MONTH($A29)/3,0))</f>
        <v/>
      </c>
    </row>
    <row r="30">
      <c r="A30" s="33" t="n"/>
      <c r="B30" s="16" t="n"/>
      <c r="C30" s="16" t="n"/>
      <c r="D30" s="16" t="n"/>
      <c r="E30" s="16" t="n"/>
      <c r="F30" s="34" t="n"/>
      <c r="G30" s="18" t="n"/>
      <c r="H30" s="35">
        <f>IF($F30="","",$F30*$G30/100)</f>
        <v/>
      </c>
      <c r="I30" s="18" t="n"/>
      <c r="J30" s="35">
        <f>IF($F30="","",$H30*$I30/100)</f>
        <v/>
      </c>
      <c r="K30" s="18" t="n"/>
      <c r="L30" s="35">
        <f>IF($F30="","",$F30*$K30/100)</f>
        <v/>
      </c>
      <c r="M30" s="20">
        <f>IF($A30="","",ROUNDUP(MONTH($A30)/3,0))</f>
        <v/>
      </c>
    </row>
    <row r="31">
      <c r="A31" s="33" t="n"/>
      <c r="B31" s="16" t="n"/>
      <c r="C31" s="16" t="n"/>
      <c r="D31" s="16" t="n"/>
      <c r="E31" s="16" t="n"/>
      <c r="F31" s="34" t="n"/>
      <c r="G31" s="18" t="n"/>
      <c r="H31" s="35">
        <f>IF($F31="","",$F31*$G31/100)</f>
        <v/>
      </c>
      <c r="I31" s="18" t="n"/>
      <c r="J31" s="35">
        <f>IF($F31="","",$H31*$I31/100)</f>
        <v/>
      </c>
      <c r="K31" s="18" t="n"/>
      <c r="L31" s="35">
        <f>IF($F31="","",$F31*$K31/100)</f>
        <v/>
      </c>
      <c r="M31" s="20">
        <f>IF($A31="","",ROUNDUP(MONTH($A31)/3,0))</f>
        <v/>
      </c>
    </row>
    <row r="32">
      <c r="A32" s="33" t="n"/>
      <c r="B32" s="16" t="n"/>
      <c r="C32" s="16" t="n"/>
      <c r="D32" s="16" t="n"/>
      <c r="E32" s="16" t="n"/>
      <c r="F32" s="34" t="n"/>
      <c r="G32" s="18" t="n"/>
      <c r="H32" s="35">
        <f>IF($F32="","",$F32*$G32/100)</f>
        <v/>
      </c>
      <c r="I32" s="18" t="n"/>
      <c r="J32" s="35">
        <f>IF($F32="","",$H32*$I32/100)</f>
        <v/>
      </c>
      <c r="K32" s="18" t="n"/>
      <c r="L32" s="35">
        <f>IF($F32="","",$F32*$K32/100)</f>
        <v/>
      </c>
      <c r="M32" s="20">
        <f>IF($A32="","",ROUNDUP(MONTH($A32)/3,0))</f>
        <v/>
      </c>
    </row>
    <row r="33">
      <c r="A33" s="33" t="n"/>
      <c r="B33" s="16" t="n"/>
      <c r="C33" s="16" t="n"/>
      <c r="D33" s="16" t="n"/>
      <c r="E33" s="16" t="n"/>
      <c r="F33" s="34" t="n"/>
      <c r="G33" s="18" t="n"/>
      <c r="H33" s="35">
        <f>IF($F33="","",$F33*$G33/100)</f>
        <v/>
      </c>
      <c r="I33" s="18" t="n"/>
      <c r="J33" s="35">
        <f>IF($F33="","",$H33*$I33/100)</f>
        <v/>
      </c>
      <c r="K33" s="18" t="n"/>
      <c r="L33" s="35">
        <f>IF($F33="","",$F33*$K33/100)</f>
        <v/>
      </c>
      <c r="M33" s="20">
        <f>IF($A33="","",ROUNDUP(MONTH($A33)/3,0))</f>
        <v/>
      </c>
    </row>
    <row r="34">
      <c r="A34" s="33" t="n"/>
      <c r="B34" s="16" t="n"/>
      <c r="C34" s="16" t="n"/>
      <c r="D34" s="16" t="n"/>
      <c r="E34" s="16" t="n"/>
      <c r="F34" s="34" t="n"/>
      <c r="G34" s="18" t="n"/>
      <c r="H34" s="35">
        <f>IF($F34="","",$F34*$G34/100)</f>
        <v/>
      </c>
      <c r="I34" s="18" t="n"/>
      <c r="J34" s="35">
        <f>IF($F34="","",$H34*$I34/100)</f>
        <v/>
      </c>
      <c r="K34" s="18" t="n"/>
      <c r="L34" s="35">
        <f>IF($F34="","",$F34*$K34/100)</f>
        <v/>
      </c>
      <c r="M34" s="20">
        <f>IF($A34="","",ROUNDUP(MONTH($A34)/3,0))</f>
        <v/>
      </c>
    </row>
    <row r="35">
      <c r="A35" s="33" t="n"/>
      <c r="B35" s="16" t="n"/>
      <c r="C35" s="16" t="n"/>
      <c r="D35" s="16" t="n"/>
      <c r="E35" s="16" t="n"/>
      <c r="F35" s="34" t="n"/>
      <c r="G35" s="18" t="n"/>
      <c r="H35" s="35">
        <f>IF($F35="","",$F35*$G35/100)</f>
        <v/>
      </c>
      <c r="I35" s="18" t="n"/>
      <c r="J35" s="35">
        <f>IF($F35="","",$H35*$I35/100)</f>
        <v/>
      </c>
      <c r="K35" s="18" t="n"/>
      <c r="L35" s="35">
        <f>IF($F35="","",$F35*$K35/100)</f>
        <v/>
      </c>
      <c r="M35" s="20">
        <f>IF($A35="","",ROUNDUP(MONTH($A35)/3,0))</f>
        <v/>
      </c>
    </row>
    <row r="36">
      <c r="A36" s="33" t="n"/>
      <c r="B36" s="16" t="n"/>
      <c r="C36" s="16" t="n"/>
      <c r="D36" s="16" t="n"/>
      <c r="E36" s="16" t="n"/>
      <c r="F36" s="34" t="n"/>
      <c r="G36" s="18" t="n"/>
      <c r="H36" s="35">
        <f>IF($F36="","",$F36*$G36/100)</f>
        <v/>
      </c>
      <c r="I36" s="18" t="n"/>
      <c r="J36" s="35">
        <f>IF($F36="","",$H36*$I36/100)</f>
        <v/>
      </c>
      <c r="K36" s="18" t="n"/>
      <c r="L36" s="35">
        <f>IF($F36="","",$F36*$K36/100)</f>
        <v/>
      </c>
      <c r="M36" s="20">
        <f>IF($A36="","",ROUNDUP(MONTH($A36)/3,0))</f>
        <v/>
      </c>
    </row>
    <row r="37">
      <c r="A37" s="33" t="n"/>
      <c r="B37" s="16" t="n"/>
      <c r="C37" s="16" t="n"/>
      <c r="D37" s="16" t="n"/>
      <c r="E37" s="16" t="n"/>
      <c r="F37" s="34" t="n"/>
      <c r="G37" s="18" t="n"/>
      <c r="H37" s="35">
        <f>IF($F37="","",$F37*$G37/100)</f>
        <v/>
      </c>
      <c r="I37" s="18" t="n"/>
      <c r="J37" s="35">
        <f>IF($F37="","",$H37*$I37/100)</f>
        <v/>
      </c>
      <c r="K37" s="18" t="n"/>
      <c r="L37" s="35">
        <f>IF($F37="","",$F37*$K37/100)</f>
        <v/>
      </c>
      <c r="M37" s="20">
        <f>IF($A37="","",ROUNDUP(MONTH($A37)/3,0))</f>
        <v/>
      </c>
    </row>
    <row r="38">
      <c r="A38" s="33" t="n"/>
      <c r="B38" s="16" t="n"/>
      <c r="C38" s="16" t="n"/>
      <c r="D38" s="16" t="n"/>
      <c r="E38" s="16" t="n"/>
      <c r="F38" s="34" t="n"/>
      <c r="G38" s="18" t="n"/>
      <c r="H38" s="35">
        <f>IF($F38="","",$F38*$G38/100)</f>
        <v/>
      </c>
      <c r="I38" s="18" t="n"/>
      <c r="J38" s="35">
        <f>IF($F38="","",$H38*$I38/100)</f>
        <v/>
      </c>
      <c r="K38" s="18" t="n"/>
      <c r="L38" s="35">
        <f>IF($F38="","",$F38*$K38/100)</f>
        <v/>
      </c>
      <c r="M38" s="20">
        <f>IF($A38="","",ROUNDUP(MONTH($A38)/3,0))</f>
        <v/>
      </c>
    </row>
    <row r="39">
      <c r="A39" s="33" t="n"/>
      <c r="B39" s="16" t="n"/>
      <c r="C39" s="16" t="n"/>
      <c r="D39" s="16" t="n"/>
      <c r="E39" s="16" t="n"/>
      <c r="F39" s="34" t="n"/>
      <c r="G39" s="18" t="n"/>
      <c r="H39" s="35">
        <f>IF($F39="","",$F39*$G39/100)</f>
        <v/>
      </c>
      <c r="I39" s="18" t="n"/>
      <c r="J39" s="35">
        <f>IF($F39="","",$H39*$I39/100)</f>
        <v/>
      </c>
      <c r="K39" s="18" t="n"/>
      <c r="L39" s="35">
        <f>IF($F39="","",$F39*$K39/100)</f>
        <v/>
      </c>
      <c r="M39" s="20">
        <f>IF($A39="","",ROUNDUP(MONTH($A39)/3,0))</f>
        <v/>
      </c>
    </row>
    <row r="40">
      <c r="A40" s="33" t="n"/>
      <c r="B40" s="16" t="n"/>
      <c r="C40" s="16" t="n"/>
      <c r="D40" s="16" t="n"/>
      <c r="E40" s="16" t="n"/>
      <c r="F40" s="34" t="n"/>
      <c r="G40" s="18" t="n"/>
      <c r="H40" s="35">
        <f>IF($F40="","",$F40*$G40/100)</f>
        <v/>
      </c>
      <c r="I40" s="18" t="n"/>
      <c r="J40" s="35">
        <f>IF($F40="","",$H40*$I40/100)</f>
        <v/>
      </c>
      <c r="K40" s="18" t="n"/>
      <c r="L40" s="35">
        <f>IF($F40="","",$F40*$K40/100)</f>
        <v/>
      </c>
      <c r="M40" s="20">
        <f>IF($A40="","",ROUNDUP(MONTH($A40)/3,0))</f>
        <v/>
      </c>
    </row>
    <row r="41">
      <c r="A41" s="33" t="n"/>
      <c r="B41" s="16" t="n"/>
      <c r="C41" s="16" t="n"/>
      <c r="D41" s="16" t="n"/>
      <c r="E41" s="16" t="n"/>
      <c r="F41" s="34" t="n"/>
      <c r="G41" s="18" t="n"/>
      <c r="H41" s="35">
        <f>IF($F41="","",$F41*$G41/100)</f>
        <v/>
      </c>
      <c r="I41" s="18" t="n"/>
      <c r="J41" s="35">
        <f>IF($F41="","",$H41*$I41/100)</f>
        <v/>
      </c>
      <c r="K41" s="18" t="n"/>
      <c r="L41" s="35">
        <f>IF($F41="","",$F41*$K41/100)</f>
        <v/>
      </c>
      <c r="M41" s="20">
        <f>IF($A41="","",ROUNDUP(MONTH($A41)/3,0))</f>
        <v/>
      </c>
    </row>
    <row r="42">
      <c r="A42" s="33" t="n"/>
      <c r="B42" s="16" t="n"/>
      <c r="C42" s="16" t="n"/>
      <c r="D42" s="16" t="n"/>
      <c r="E42" s="16" t="n"/>
      <c r="F42" s="34" t="n"/>
      <c r="G42" s="18" t="n"/>
      <c r="H42" s="35">
        <f>IF($F42="","",$F42*$G42/100)</f>
        <v/>
      </c>
      <c r="I42" s="18" t="n"/>
      <c r="J42" s="35">
        <f>IF($F42="","",$H42*$I42/100)</f>
        <v/>
      </c>
      <c r="K42" s="18" t="n"/>
      <c r="L42" s="35">
        <f>IF($F42="","",$F42*$K42/100)</f>
        <v/>
      </c>
      <c r="M42" s="20">
        <f>IF($A42="","",ROUNDUP(MONTH($A42)/3,0))</f>
        <v/>
      </c>
    </row>
    <row r="43">
      <c r="A43" s="33" t="n"/>
      <c r="B43" s="16" t="n"/>
      <c r="C43" s="16" t="n"/>
      <c r="D43" s="16" t="n"/>
      <c r="E43" s="16" t="n"/>
      <c r="F43" s="34" t="n"/>
      <c r="G43" s="18" t="n"/>
      <c r="H43" s="35">
        <f>IF($F43="","",$F43*$G43/100)</f>
        <v/>
      </c>
      <c r="I43" s="18" t="n"/>
      <c r="J43" s="35">
        <f>IF($F43="","",$H43*$I43/100)</f>
        <v/>
      </c>
      <c r="K43" s="18" t="n"/>
      <c r="L43" s="35">
        <f>IF($F43="","",$F43*$K43/100)</f>
        <v/>
      </c>
      <c r="M43" s="20">
        <f>IF($A43="","",ROUNDUP(MONTH($A43)/3,0))</f>
        <v/>
      </c>
    </row>
    <row r="44">
      <c r="A44" s="33" t="n"/>
      <c r="B44" s="16" t="n"/>
      <c r="C44" s="16" t="n"/>
      <c r="D44" s="16" t="n"/>
      <c r="E44" s="16" t="n"/>
      <c r="F44" s="34" t="n"/>
      <c r="G44" s="18" t="n"/>
      <c r="H44" s="35">
        <f>IF($F44="","",$F44*$G44/100)</f>
        <v/>
      </c>
      <c r="I44" s="18" t="n"/>
      <c r="J44" s="35">
        <f>IF($F44="","",$H44*$I44/100)</f>
        <v/>
      </c>
      <c r="K44" s="18" t="n"/>
      <c r="L44" s="35">
        <f>IF($F44="","",$F44*$K44/100)</f>
        <v/>
      </c>
      <c r="M44" s="20">
        <f>IF($A44="","",ROUNDUP(MONTH($A44)/3,0))</f>
        <v/>
      </c>
    </row>
    <row r="45">
      <c r="A45" s="33" t="n"/>
      <c r="B45" s="16" t="n"/>
      <c r="C45" s="16" t="n"/>
      <c r="D45" s="16" t="n"/>
      <c r="E45" s="16" t="n"/>
      <c r="F45" s="34" t="n"/>
      <c r="G45" s="18" t="n"/>
      <c r="H45" s="35">
        <f>IF($F45="","",$F45*$G45/100)</f>
        <v/>
      </c>
      <c r="I45" s="18" t="n"/>
      <c r="J45" s="35">
        <f>IF($F45="","",$H45*$I45/100)</f>
        <v/>
      </c>
      <c r="K45" s="18" t="n"/>
      <c r="L45" s="35">
        <f>IF($F45="","",$F45*$K45/100)</f>
        <v/>
      </c>
      <c r="M45" s="20">
        <f>IF($A45="","",ROUNDUP(MONTH($A45)/3,0))</f>
        <v/>
      </c>
    </row>
    <row r="46">
      <c r="A46" s="33" t="n"/>
      <c r="B46" s="16" t="n"/>
      <c r="C46" s="16" t="n"/>
      <c r="D46" s="16" t="n"/>
      <c r="E46" s="16" t="n"/>
      <c r="F46" s="34" t="n"/>
      <c r="G46" s="18" t="n"/>
      <c r="H46" s="35">
        <f>IF($F46="","",$F46*$G46/100)</f>
        <v/>
      </c>
      <c r="I46" s="18" t="n"/>
      <c r="J46" s="35">
        <f>IF($F46="","",$H46*$I46/100)</f>
        <v/>
      </c>
      <c r="K46" s="18" t="n"/>
      <c r="L46" s="35">
        <f>IF($F46="","",$F46*$K46/100)</f>
        <v/>
      </c>
      <c r="M46" s="20">
        <f>IF($A46="","",ROUNDUP(MONTH($A46)/3,0))</f>
        <v/>
      </c>
    </row>
    <row r="47">
      <c r="A47" s="33" t="n"/>
      <c r="B47" s="16" t="n"/>
      <c r="C47" s="16" t="n"/>
      <c r="D47" s="16" t="n"/>
      <c r="E47" s="16" t="n"/>
      <c r="F47" s="34" t="n"/>
      <c r="G47" s="18" t="n"/>
      <c r="H47" s="35">
        <f>IF($F47="","",$F47*$G47/100)</f>
        <v/>
      </c>
      <c r="I47" s="18" t="n"/>
      <c r="J47" s="35">
        <f>IF($F47="","",$H47*$I47/100)</f>
        <v/>
      </c>
      <c r="K47" s="18" t="n"/>
      <c r="L47" s="35">
        <f>IF($F47="","",$F47*$K47/100)</f>
        <v/>
      </c>
      <c r="M47" s="20">
        <f>IF($A47="","",ROUNDUP(MONTH($A47)/3,0))</f>
        <v/>
      </c>
    </row>
    <row r="48">
      <c r="A48" s="33" t="n"/>
      <c r="B48" s="16" t="n"/>
      <c r="C48" s="16" t="n"/>
      <c r="D48" s="16" t="n"/>
      <c r="E48" s="16" t="n"/>
      <c r="F48" s="34" t="n"/>
      <c r="G48" s="18" t="n"/>
      <c r="H48" s="35">
        <f>IF($F48="","",$F48*$G48/100)</f>
        <v/>
      </c>
      <c r="I48" s="18" t="n"/>
      <c r="J48" s="35">
        <f>IF($F48="","",$H48*$I48/100)</f>
        <v/>
      </c>
      <c r="K48" s="18" t="n"/>
      <c r="L48" s="35">
        <f>IF($F48="","",$F48*$K48/100)</f>
        <v/>
      </c>
      <c r="M48" s="20">
        <f>IF($A48="","",ROUNDUP(MONTH($A48)/3,0))</f>
        <v/>
      </c>
    </row>
    <row r="49">
      <c r="A49" s="33" t="n"/>
      <c r="B49" s="16" t="n"/>
      <c r="C49" s="16" t="n"/>
      <c r="D49" s="16" t="n"/>
      <c r="E49" s="16" t="n"/>
      <c r="F49" s="34" t="n"/>
      <c r="G49" s="18" t="n"/>
      <c r="H49" s="35">
        <f>IF($F49="","",$F49*$G49/100)</f>
        <v/>
      </c>
      <c r="I49" s="18" t="n"/>
      <c r="J49" s="35">
        <f>IF($F49="","",$H49*$I49/100)</f>
        <v/>
      </c>
      <c r="K49" s="18" t="n"/>
      <c r="L49" s="35">
        <f>IF($F49="","",$F49*$K49/100)</f>
        <v/>
      </c>
      <c r="M49" s="20">
        <f>IF($A49="","",ROUNDUP(MONTH($A49)/3,0))</f>
        <v/>
      </c>
    </row>
    <row r="50">
      <c r="A50" s="33" t="n"/>
      <c r="B50" s="16" t="n"/>
      <c r="C50" s="16" t="n"/>
      <c r="D50" s="16" t="n"/>
      <c r="E50" s="16" t="n"/>
      <c r="F50" s="34" t="n"/>
      <c r="G50" s="18" t="n"/>
      <c r="H50" s="35">
        <f>IF($F50="","",$F50*$G50/100)</f>
        <v/>
      </c>
      <c r="I50" s="18" t="n"/>
      <c r="J50" s="35">
        <f>IF($F50="","",$H50*$I50/100)</f>
        <v/>
      </c>
      <c r="K50" s="18" t="n"/>
      <c r="L50" s="35">
        <f>IF($F50="","",$F50*$K50/100)</f>
        <v/>
      </c>
      <c r="M50" s="20">
        <f>IF($A50="","",ROUNDUP(MONTH($A50)/3,0))</f>
        <v/>
      </c>
    </row>
    <row r="51">
      <c r="A51" s="33" t="n"/>
      <c r="B51" s="16" t="n"/>
      <c r="C51" s="16" t="n"/>
      <c r="D51" s="16" t="n"/>
      <c r="E51" s="16" t="n"/>
      <c r="F51" s="34" t="n"/>
      <c r="G51" s="18" t="n"/>
      <c r="H51" s="35">
        <f>IF($F51="","",$F51*$G51/100)</f>
        <v/>
      </c>
      <c r="I51" s="18" t="n"/>
      <c r="J51" s="35">
        <f>IF($F51="","",$H51*$I51/100)</f>
        <v/>
      </c>
      <c r="K51" s="18" t="n"/>
      <c r="L51" s="35">
        <f>IF($F51="","",$F51*$K51/100)</f>
        <v/>
      </c>
      <c r="M51" s="20">
        <f>IF($A51="","",ROUNDUP(MONTH($A51)/3,0))</f>
        <v/>
      </c>
    </row>
    <row r="52">
      <c r="A52" s="33" t="n"/>
      <c r="B52" s="16" t="n"/>
      <c r="C52" s="16" t="n"/>
      <c r="D52" s="16" t="n"/>
      <c r="E52" s="16" t="n"/>
      <c r="F52" s="34" t="n"/>
      <c r="G52" s="18" t="n"/>
      <c r="H52" s="35">
        <f>IF($F52="","",$F52*$G52/100)</f>
        <v/>
      </c>
      <c r="I52" s="18" t="n"/>
      <c r="J52" s="35">
        <f>IF($F52="","",$H52*$I52/100)</f>
        <v/>
      </c>
      <c r="K52" s="18" t="n"/>
      <c r="L52" s="35">
        <f>IF($F52="","",$F52*$K52/100)</f>
        <v/>
      </c>
      <c r="M52" s="20">
        <f>IF($A52="","",ROUNDUP(MONTH($A52)/3,0))</f>
        <v/>
      </c>
    </row>
    <row r="53">
      <c r="A53" s="33" t="n"/>
      <c r="B53" s="16" t="n"/>
      <c r="C53" s="16" t="n"/>
      <c r="D53" s="16" t="n"/>
      <c r="E53" s="16" t="n"/>
      <c r="F53" s="34" t="n"/>
      <c r="G53" s="18" t="n"/>
      <c r="H53" s="35">
        <f>IF($F53="","",$F53*$G53/100)</f>
        <v/>
      </c>
      <c r="I53" s="18" t="n"/>
      <c r="J53" s="35">
        <f>IF($F53="","",$H53*$I53/100)</f>
        <v/>
      </c>
      <c r="K53" s="18" t="n"/>
      <c r="L53" s="35">
        <f>IF($F53="","",$F53*$K53/100)</f>
        <v/>
      </c>
      <c r="M53" s="20">
        <f>IF($A53="","",ROUNDUP(MONTH($A53)/3,0))</f>
        <v/>
      </c>
    </row>
    <row r="54">
      <c r="A54" s="33" t="n"/>
      <c r="B54" s="16" t="n"/>
      <c r="C54" s="16" t="n"/>
      <c r="D54" s="16" t="n"/>
      <c r="E54" s="16" t="n"/>
      <c r="F54" s="34" t="n"/>
      <c r="G54" s="18" t="n"/>
      <c r="H54" s="35">
        <f>IF($F54="","",$F54*$G54/100)</f>
        <v/>
      </c>
      <c r="I54" s="18" t="n"/>
      <c r="J54" s="35">
        <f>IF($F54="","",$H54*$I54/100)</f>
        <v/>
      </c>
      <c r="K54" s="18" t="n"/>
      <c r="L54" s="35">
        <f>IF($F54="","",$F54*$K54/100)</f>
        <v/>
      </c>
      <c r="M54" s="20">
        <f>IF($A54="","",ROUNDUP(MONTH($A54)/3,0))</f>
        <v/>
      </c>
    </row>
    <row r="55">
      <c r="A55" s="33" t="n"/>
      <c r="B55" s="16" t="n"/>
      <c r="C55" s="16" t="n"/>
      <c r="D55" s="16" t="n"/>
      <c r="E55" s="16" t="n"/>
      <c r="F55" s="34" t="n"/>
      <c r="G55" s="18" t="n"/>
      <c r="H55" s="35">
        <f>IF($F55="","",$F55*$G55/100)</f>
        <v/>
      </c>
      <c r="I55" s="18" t="n"/>
      <c r="J55" s="35">
        <f>IF($F55="","",$H55*$I55/100)</f>
        <v/>
      </c>
      <c r="K55" s="18" t="n"/>
      <c r="L55" s="35">
        <f>IF($F55="","",$F55*$K55/100)</f>
        <v/>
      </c>
      <c r="M55" s="20">
        <f>IF($A55="","",ROUNDUP(MONTH($A55)/3,0))</f>
        <v/>
      </c>
    </row>
    <row r="56">
      <c r="A56" s="33" t="n"/>
      <c r="B56" s="16" t="n"/>
      <c r="C56" s="16" t="n"/>
      <c r="D56" s="16" t="n"/>
      <c r="E56" s="16" t="n"/>
      <c r="F56" s="34" t="n"/>
      <c r="G56" s="18" t="n"/>
      <c r="H56" s="35">
        <f>IF($F56="","",$F56*$G56/100)</f>
        <v/>
      </c>
      <c r="I56" s="18" t="n"/>
      <c r="J56" s="35">
        <f>IF($F56="","",$H56*$I56/100)</f>
        <v/>
      </c>
      <c r="K56" s="18" t="n"/>
      <c r="L56" s="35">
        <f>IF($F56="","",$F56*$K56/100)</f>
        <v/>
      </c>
      <c r="M56" s="20">
        <f>IF($A56="","",ROUNDUP(MONTH($A56)/3,0))</f>
        <v/>
      </c>
    </row>
    <row r="57">
      <c r="A57" s="33" t="n"/>
      <c r="B57" s="16" t="n"/>
      <c r="C57" s="16" t="n"/>
      <c r="D57" s="16" t="n"/>
      <c r="E57" s="16" t="n"/>
      <c r="F57" s="34" t="n"/>
      <c r="G57" s="18" t="n"/>
      <c r="H57" s="35">
        <f>IF($F57="","",$F57*$G57/100)</f>
        <v/>
      </c>
      <c r="I57" s="18" t="n"/>
      <c r="J57" s="35">
        <f>IF($F57="","",$H57*$I57/100)</f>
        <v/>
      </c>
      <c r="K57" s="18" t="n"/>
      <c r="L57" s="35">
        <f>IF($F57="","",$F57*$K57/100)</f>
        <v/>
      </c>
      <c r="M57" s="20">
        <f>IF($A57="","",ROUNDUP(MONTH($A57)/3,0))</f>
        <v/>
      </c>
    </row>
    <row r="58">
      <c r="A58" s="33" t="n"/>
      <c r="B58" s="16" t="n"/>
      <c r="C58" s="16" t="n"/>
      <c r="D58" s="16" t="n"/>
      <c r="E58" s="16" t="n"/>
      <c r="F58" s="34" t="n"/>
      <c r="G58" s="18" t="n"/>
      <c r="H58" s="35">
        <f>IF($F58="","",$F58*$G58/100)</f>
        <v/>
      </c>
      <c r="I58" s="18" t="n"/>
      <c r="J58" s="35">
        <f>IF($F58="","",$H58*$I58/100)</f>
        <v/>
      </c>
      <c r="K58" s="18" t="n"/>
      <c r="L58" s="35">
        <f>IF($F58="","",$F58*$K58/100)</f>
        <v/>
      </c>
      <c r="M58" s="20">
        <f>IF($A58="","",ROUNDUP(MONTH($A58)/3,0))</f>
        <v/>
      </c>
    </row>
    <row r="59">
      <c r="A59" s="33" t="n"/>
      <c r="B59" s="16" t="n"/>
      <c r="C59" s="16" t="n"/>
      <c r="D59" s="16" t="n"/>
      <c r="E59" s="16" t="n"/>
      <c r="F59" s="34" t="n"/>
      <c r="G59" s="18" t="n"/>
      <c r="H59" s="35">
        <f>IF($F59="","",$F59*$G59/100)</f>
        <v/>
      </c>
      <c r="I59" s="18" t="n"/>
      <c r="J59" s="35">
        <f>IF($F59="","",$H59*$I59/100)</f>
        <v/>
      </c>
      <c r="K59" s="18" t="n"/>
      <c r="L59" s="35">
        <f>IF($F59="","",$F59*$K59/100)</f>
        <v/>
      </c>
      <c r="M59" s="20">
        <f>IF($A59="","",ROUNDUP(MONTH($A59)/3,0))</f>
        <v/>
      </c>
    </row>
    <row r="60">
      <c r="A60" s="33" t="n"/>
      <c r="B60" s="16" t="n"/>
      <c r="C60" s="16" t="n"/>
      <c r="D60" s="16" t="n"/>
      <c r="E60" s="16" t="n"/>
      <c r="F60" s="34" t="n"/>
      <c r="G60" s="18" t="n"/>
      <c r="H60" s="35">
        <f>IF($F60="","",$F60*$G60/100)</f>
        <v/>
      </c>
      <c r="I60" s="18" t="n"/>
      <c r="J60" s="35">
        <f>IF($F60="","",$H60*$I60/100)</f>
        <v/>
      </c>
      <c r="K60" s="18" t="n"/>
      <c r="L60" s="35">
        <f>IF($F60="","",$F60*$K60/100)</f>
        <v/>
      </c>
      <c r="M60" s="20">
        <f>IF($A60="","",ROUNDUP(MONTH($A60)/3,0))</f>
        <v/>
      </c>
    </row>
    <row r="61">
      <c r="A61" s="33" t="n"/>
      <c r="B61" s="16" t="n"/>
      <c r="C61" s="16" t="n"/>
      <c r="D61" s="16" t="n"/>
      <c r="E61" s="16" t="n"/>
      <c r="F61" s="34" t="n"/>
      <c r="G61" s="18" t="n"/>
      <c r="H61" s="35">
        <f>IF($F61="","",$F61*$G61/100)</f>
        <v/>
      </c>
      <c r="I61" s="18" t="n"/>
      <c r="J61" s="35">
        <f>IF($F61="","",$H61*$I61/100)</f>
        <v/>
      </c>
      <c r="K61" s="18" t="n"/>
      <c r="L61" s="35">
        <f>IF($F61="","",$F61*$K61/100)</f>
        <v/>
      </c>
      <c r="M61" s="20">
        <f>IF($A61="","",ROUNDUP(MONTH($A61)/3,0))</f>
        <v/>
      </c>
    </row>
    <row r="62">
      <c r="A62" s="33" t="n"/>
      <c r="B62" s="16" t="n"/>
      <c r="C62" s="16" t="n"/>
      <c r="D62" s="16" t="n"/>
      <c r="E62" s="16" t="n"/>
      <c r="F62" s="34" t="n"/>
      <c r="G62" s="18" t="n"/>
      <c r="H62" s="35">
        <f>IF($F62="","",$F62*$G62/100)</f>
        <v/>
      </c>
      <c r="I62" s="18" t="n"/>
      <c r="J62" s="35">
        <f>IF($F62="","",$H62*$I62/100)</f>
        <v/>
      </c>
      <c r="K62" s="18" t="n"/>
      <c r="L62" s="35">
        <f>IF($F62="","",$F62*$K62/100)</f>
        <v/>
      </c>
      <c r="M62" s="20">
        <f>IF($A62="","",ROUNDUP(MONTH($A62)/3,0))</f>
        <v/>
      </c>
    </row>
    <row r="63">
      <c r="A63" s="33" t="n"/>
      <c r="B63" s="16" t="n"/>
      <c r="C63" s="16" t="n"/>
      <c r="D63" s="16" t="n"/>
      <c r="E63" s="16" t="n"/>
      <c r="F63" s="34" t="n"/>
      <c r="G63" s="18" t="n"/>
      <c r="H63" s="35">
        <f>IF($F63="","",$F63*$G63/100)</f>
        <v/>
      </c>
      <c r="I63" s="18" t="n"/>
      <c r="J63" s="35">
        <f>IF($F63="","",$H63*$I63/100)</f>
        <v/>
      </c>
      <c r="K63" s="18" t="n"/>
      <c r="L63" s="35">
        <f>IF($F63="","",$F63*$K63/100)</f>
        <v/>
      </c>
      <c r="M63" s="20">
        <f>IF($A63="","",ROUNDUP(MONTH($A63)/3,0))</f>
        <v/>
      </c>
    </row>
    <row r="64">
      <c r="A64" s="33" t="n"/>
      <c r="B64" s="16" t="n"/>
      <c r="C64" s="16" t="n"/>
      <c r="D64" s="16" t="n"/>
      <c r="E64" s="16" t="n"/>
      <c r="F64" s="34" t="n"/>
      <c r="G64" s="18" t="n"/>
      <c r="H64" s="35">
        <f>IF($F64="","",$F64*$G64/100)</f>
        <v/>
      </c>
      <c r="I64" s="18" t="n"/>
      <c r="J64" s="35">
        <f>IF($F64="","",$H64*$I64/100)</f>
        <v/>
      </c>
      <c r="K64" s="18" t="n"/>
      <c r="L64" s="35">
        <f>IF($F64="","",$F64*$K64/100)</f>
        <v/>
      </c>
      <c r="M64" s="20">
        <f>IF($A64="","",ROUNDUP(MONTH($A64)/3,0))</f>
        <v/>
      </c>
    </row>
    <row r="65">
      <c r="A65" s="33" t="n"/>
      <c r="B65" s="16" t="n"/>
      <c r="C65" s="16" t="n"/>
      <c r="D65" s="16" t="n"/>
      <c r="E65" s="16" t="n"/>
      <c r="F65" s="34" t="n"/>
      <c r="G65" s="18" t="n"/>
      <c r="H65" s="35">
        <f>IF($F65="","",$F65*$G65/100)</f>
        <v/>
      </c>
      <c r="I65" s="18" t="n"/>
      <c r="J65" s="35">
        <f>IF($F65="","",$H65*$I65/100)</f>
        <v/>
      </c>
      <c r="K65" s="18" t="n"/>
      <c r="L65" s="35">
        <f>IF($F65="","",$F65*$K65/100)</f>
        <v/>
      </c>
      <c r="M65" s="20">
        <f>IF($A65="","",ROUNDUP(MONTH($A65)/3,0))</f>
        <v/>
      </c>
    </row>
    <row r="66">
      <c r="A66" s="33" t="n"/>
      <c r="B66" s="16" t="n"/>
      <c r="C66" s="16" t="n"/>
      <c r="D66" s="16" t="n"/>
      <c r="E66" s="16" t="n"/>
      <c r="F66" s="34" t="n"/>
      <c r="G66" s="18" t="n"/>
      <c r="H66" s="35">
        <f>IF($F66="","",$F66*$G66/100)</f>
        <v/>
      </c>
      <c r="I66" s="18" t="n"/>
      <c r="J66" s="35">
        <f>IF($F66="","",$H66*$I66/100)</f>
        <v/>
      </c>
      <c r="K66" s="18" t="n"/>
      <c r="L66" s="35">
        <f>IF($F66="","",$F66*$K66/100)</f>
        <v/>
      </c>
      <c r="M66" s="20">
        <f>IF($A66="","",ROUNDUP(MONTH($A66)/3,0))</f>
        <v/>
      </c>
    </row>
    <row r="67">
      <c r="A67" s="33" t="n"/>
      <c r="B67" s="16" t="n"/>
      <c r="C67" s="16" t="n"/>
      <c r="D67" s="16" t="n"/>
      <c r="E67" s="16" t="n"/>
      <c r="F67" s="34" t="n"/>
      <c r="G67" s="18" t="n"/>
      <c r="H67" s="35">
        <f>IF($F67="","",$F67*$G67/100)</f>
        <v/>
      </c>
      <c r="I67" s="18" t="n"/>
      <c r="J67" s="35">
        <f>IF($F67="","",$H67*$I67/100)</f>
        <v/>
      </c>
      <c r="K67" s="18" t="n"/>
      <c r="L67" s="35">
        <f>IF($F67="","",$F67*$K67/100)</f>
        <v/>
      </c>
      <c r="M67" s="20">
        <f>IF($A67="","",ROUNDUP(MONTH($A67)/3,0))</f>
        <v/>
      </c>
    </row>
    <row r="68">
      <c r="A68" s="33" t="n"/>
      <c r="B68" s="16" t="n"/>
      <c r="C68" s="16" t="n"/>
      <c r="D68" s="16" t="n"/>
      <c r="E68" s="16" t="n"/>
      <c r="F68" s="34" t="n"/>
      <c r="G68" s="18" t="n"/>
      <c r="H68" s="35">
        <f>IF($F68="","",$F68*$G68/100)</f>
        <v/>
      </c>
      <c r="I68" s="18" t="n"/>
      <c r="J68" s="35">
        <f>IF($F68="","",$H68*$I68/100)</f>
        <v/>
      </c>
      <c r="K68" s="18" t="n"/>
      <c r="L68" s="35">
        <f>IF($F68="","",$F68*$K68/100)</f>
        <v/>
      </c>
      <c r="M68" s="20">
        <f>IF($A68="","",ROUNDUP(MONTH($A68)/3,0))</f>
        <v/>
      </c>
    </row>
    <row r="69">
      <c r="A69" s="33" t="n"/>
      <c r="B69" s="16" t="n"/>
      <c r="C69" s="16" t="n"/>
      <c r="D69" s="16" t="n"/>
      <c r="E69" s="16" t="n"/>
      <c r="F69" s="34" t="n"/>
      <c r="G69" s="18" t="n"/>
      <c r="H69" s="35">
        <f>IF($F69="","",$F69*$G69/100)</f>
        <v/>
      </c>
      <c r="I69" s="18" t="n"/>
      <c r="J69" s="35">
        <f>IF($F69="","",$H69*$I69/100)</f>
        <v/>
      </c>
      <c r="K69" s="18" t="n"/>
      <c r="L69" s="35">
        <f>IF($F69="","",$F69*$K69/100)</f>
        <v/>
      </c>
      <c r="M69" s="20">
        <f>IF($A69="","",ROUNDUP(MONTH($A69)/3,0))</f>
        <v/>
      </c>
    </row>
    <row r="70">
      <c r="A70" s="33" t="n"/>
      <c r="B70" s="16" t="n"/>
      <c r="C70" s="16" t="n"/>
      <c r="D70" s="16" t="n"/>
      <c r="E70" s="16" t="n"/>
      <c r="F70" s="34" t="n"/>
      <c r="G70" s="18" t="n"/>
      <c r="H70" s="35">
        <f>IF($F70="","",$F70*$G70/100)</f>
        <v/>
      </c>
      <c r="I70" s="18" t="n"/>
      <c r="J70" s="35">
        <f>IF($F70="","",$H70*$I70/100)</f>
        <v/>
      </c>
      <c r="K70" s="18" t="n"/>
      <c r="L70" s="35">
        <f>IF($F70="","",$F70*$K70/100)</f>
        <v/>
      </c>
      <c r="M70" s="20">
        <f>IF($A70="","",ROUNDUP(MONTH($A70)/3,0))</f>
        <v/>
      </c>
    </row>
    <row r="71">
      <c r="A71" s="33" t="n"/>
      <c r="B71" s="16" t="n"/>
      <c r="C71" s="16" t="n"/>
      <c r="D71" s="16" t="n"/>
      <c r="E71" s="16" t="n"/>
      <c r="F71" s="34" t="n"/>
      <c r="G71" s="18" t="n"/>
      <c r="H71" s="35">
        <f>IF($F71="","",$F71*$G71/100)</f>
        <v/>
      </c>
      <c r="I71" s="18" t="n"/>
      <c r="J71" s="35">
        <f>IF($F71="","",$H71*$I71/100)</f>
        <v/>
      </c>
      <c r="K71" s="18" t="n"/>
      <c r="L71" s="35">
        <f>IF($F71="","",$F71*$K71/100)</f>
        <v/>
      </c>
      <c r="M71" s="20">
        <f>IF($A71="","",ROUNDUP(MONTH($A71)/3,0))</f>
        <v/>
      </c>
    </row>
    <row r="72">
      <c r="A72" s="33" t="n"/>
      <c r="B72" s="16" t="n"/>
      <c r="C72" s="16" t="n"/>
      <c r="D72" s="16" t="n"/>
      <c r="E72" s="16" t="n"/>
      <c r="F72" s="34" t="n"/>
      <c r="G72" s="18" t="n"/>
      <c r="H72" s="35">
        <f>IF($F72="","",$F72*$G72/100)</f>
        <v/>
      </c>
      <c r="I72" s="18" t="n"/>
      <c r="J72" s="35">
        <f>IF($F72="","",$H72*$I72/100)</f>
        <v/>
      </c>
      <c r="K72" s="18" t="n"/>
      <c r="L72" s="35">
        <f>IF($F72="","",$F72*$K72/100)</f>
        <v/>
      </c>
      <c r="M72" s="20">
        <f>IF($A72="","",ROUNDUP(MONTH($A72)/3,0))</f>
        <v/>
      </c>
    </row>
    <row r="73">
      <c r="A73" s="33" t="n"/>
      <c r="B73" s="16" t="n"/>
      <c r="C73" s="16" t="n"/>
      <c r="D73" s="16" t="n"/>
      <c r="E73" s="16" t="n"/>
      <c r="F73" s="34" t="n"/>
      <c r="G73" s="18" t="n"/>
      <c r="H73" s="35">
        <f>IF($F73="","",$F73*$G73/100)</f>
        <v/>
      </c>
      <c r="I73" s="18" t="n"/>
      <c r="J73" s="35">
        <f>IF($F73="","",$H73*$I73/100)</f>
        <v/>
      </c>
      <c r="K73" s="18" t="n"/>
      <c r="L73" s="35">
        <f>IF($F73="","",$F73*$K73/100)</f>
        <v/>
      </c>
      <c r="M73" s="20">
        <f>IF($A73="","",ROUNDUP(MONTH($A73)/3,0))</f>
        <v/>
      </c>
    </row>
    <row r="74">
      <c r="A74" s="33" t="n"/>
      <c r="B74" s="16" t="n"/>
      <c r="C74" s="16" t="n"/>
      <c r="D74" s="16" t="n"/>
      <c r="E74" s="16" t="n"/>
      <c r="F74" s="34" t="n"/>
      <c r="G74" s="18" t="n"/>
      <c r="H74" s="35">
        <f>IF($F74="","",$F74*$G74/100)</f>
        <v/>
      </c>
      <c r="I74" s="18" t="n"/>
      <c r="J74" s="35">
        <f>IF($F74="","",$H74*$I74/100)</f>
        <v/>
      </c>
      <c r="K74" s="18" t="n"/>
      <c r="L74" s="35">
        <f>IF($F74="","",$F74*$K74/100)</f>
        <v/>
      </c>
      <c r="M74" s="20">
        <f>IF($A74="","",ROUNDUP(MONTH($A74)/3,0))</f>
        <v/>
      </c>
    </row>
    <row r="75">
      <c r="A75" s="33" t="n"/>
      <c r="B75" s="16" t="n"/>
      <c r="C75" s="16" t="n"/>
      <c r="D75" s="16" t="n"/>
      <c r="E75" s="16" t="n"/>
      <c r="F75" s="34" t="n"/>
      <c r="G75" s="18" t="n"/>
      <c r="H75" s="35">
        <f>IF($F75="","",$F75*$G75/100)</f>
        <v/>
      </c>
      <c r="I75" s="18" t="n"/>
      <c r="J75" s="35">
        <f>IF($F75="","",$H75*$I75/100)</f>
        <v/>
      </c>
      <c r="K75" s="18" t="n"/>
      <c r="L75" s="35">
        <f>IF($F75="","",$F75*$K75/100)</f>
        <v/>
      </c>
      <c r="M75" s="20">
        <f>IF($A75="","",ROUNDUP(MONTH($A75)/3,0))</f>
        <v/>
      </c>
    </row>
    <row r="76">
      <c r="A76" s="33" t="n"/>
      <c r="B76" s="16" t="n"/>
      <c r="C76" s="16" t="n"/>
      <c r="D76" s="16" t="n"/>
      <c r="E76" s="16" t="n"/>
      <c r="F76" s="34" t="n"/>
      <c r="G76" s="18" t="n"/>
      <c r="H76" s="35">
        <f>IF($F76="","",$F76*$G76/100)</f>
        <v/>
      </c>
      <c r="I76" s="18" t="n"/>
      <c r="J76" s="35">
        <f>IF($F76="","",$H76*$I76/100)</f>
        <v/>
      </c>
      <c r="K76" s="18" t="n"/>
      <c r="L76" s="35">
        <f>IF($F76="","",$F76*$K76/100)</f>
        <v/>
      </c>
      <c r="M76" s="20">
        <f>IF($A76="","",ROUNDUP(MONTH($A76)/3,0))</f>
        <v/>
      </c>
    </row>
    <row r="77">
      <c r="A77" s="33" t="n"/>
      <c r="B77" s="16" t="n"/>
      <c r="C77" s="16" t="n"/>
      <c r="D77" s="16" t="n"/>
      <c r="E77" s="16" t="n"/>
      <c r="F77" s="34" t="n"/>
      <c r="G77" s="18" t="n"/>
      <c r="H77" s="35">
        <f>IF($F77="","",$F77*$G77/100)</f>
        <v/>
      </c>
      <c r="I77" s="18" t="n"/>
      <c r="J77" s="35">
        <f>IF($F77="","",$H77*$I77/100)</f>
        <v/>
      </c>
      <c r="K77" s="18" t="n"/>
      <c r="L77" s="35">
        <f>IF($F77="","",$F77*$K77/100)</f>
        <v/>
      </c>
      <c r="M77" s="20">
        <f>IF($A77="","",ROUNDUP(MONTH($A77)/3,0))</f>
        <v/>
      </c>
    </row>
    <row r="78">
      <c r="A78" s="33" t="n"/>
      <c r="B78" s="16" t="n"/>
      <c r="C78" s="16" t="n"/>
      <c r="D78" s="16" t="n"/>
      <c r="E78" s="16" t="n"/>
      <c r="F78" s="34" t="n"/>
      <c r="G78" s="18" t="n"/>
      <c r="H78" s="35">
        <f>IF($F78="","",$F78*$G78/100)</f>
        <v/>
      </c>
      <c r="I78" s="18" t="n"/>
      <c r="J78" s="35">
        <f>IF($F78="","",$H78*$I78/100)</f>
        <v/>
      </c>
      <c r="K78" s="18" t="n"/>
      <c r="L78" s="35">
        <f>IF($F78="","",$F78*$K78/100)</f>
        <v/>
      </c>
      <c r="M78" s="20">
        <f>IF($A78="","",ROUNDUP(MONTH($A78)/3,0))</f>
        <v/>
      </c>
    </row>
    <row r="79">
      <c r="A79" s="33" t="n"/>
      <c r="B79" s="16" t="n"/>
      <c r="C79" s="16" t="n"/>
      <c r="D79" s="16" t="n"/>
      <c r="E79" s="16" t="n"/>
      <c r="F79" s="34" t="n"/>
      <c r="G79" s="18" t="n"/>
      <c r="H79" s="35">
        <f>IF($F79="","",$F79*$G79/100)</f>
        <v/>
      </c>
      <c r="I79" s="18" t="n"/>
      <c r="J79" s="35">
        <f>IF($F79="","",$H79*$I79/100)</f>
        <v/>
      </c>
      <c r="K79" s="18" t="n"/>
      <c r="L79" s="35">
        <f>IF($F79="","",$F79*$K79/100)</f>
        <v/>
      </c>
      <c r="M79" s="20">
        <f>IF($A79="","",ROUNDUP(MONTH($A79)/3,0))</f>
        <v/>
      </c>
    </row>
    <row r="80">
      <c r="A80" s="33" t="n"/>
      <c r="B80" s="16" t="n"/>
      <c r="C80" s="16" t="n"/>
      <c r="D80" s="16" t="n"/>
      <c r="E80" s="16" t="n"/>
      <c r="F80" s="34" t="n"/>
      <c r="G80" s="18" t="n"/>
      <c r="H80" s="35">
        <f>IF($F80="","",$F80*$G80/100)</f>
        <v/>
      </c>
      <c r="I80" s="18" t="n"/>
      <c r="J80" s="35">
        <f>IF($F80="","",$H80*$I80/100)</f>
        <v/>
      </c>
      <c r="K80" s="18" t="n"/>
      <c r="L80" s="35">
        <f>IF($F80="","",$F80*$K80/100)</f>
        <v/>
      </c>
      <c r="M80" s="20">
        <f>IF($A80="","",ROUNDUP(MONTH($A80)/3,0))</f>
        <v/>
      </c>
    </row>
    <row r="81">
      <c r="A81" s="33" t="n"/>
      <c r="B81" s="16" t="n"/>
      <c r="C81" s="16" t="n"/>
      <c r="D81" s="16" t="n"/>
      <c r="E81" s="16" t="n"/>
      <c r="F81" s="34" t="n"/>
      <c r="G81" s="18" t="n"/>
      <c r="H81" s="35">
        <f>IF($F81="","",$F81*$G81/100)</f>
        <v/>
      </c>
      <c r="I81" s="18" t="n"/>
      <c r="J81" s="35">
        <f>IF($F81="","",$H81*$I81/100)</f>
        <v/>
      </c>
      <c r="K81" s="18" t="n"/>
      <c r="L81" s="35">
        <f>IF($F81="","",$F81*$K81/100)</f>
        <v/>
      </c>
      <c r="M81" s="20">
        <f>IF($A81="","",ROUNDUP(MONTH($A81)/3,0))</f>
        <v/>
      </c>
    </row>
    <row r="82">
      <c r="A82" s="33" t="n"/>
      <c r="B82" s="16" t="n"/>
      <c r="C82" s="16" t="n"/>
      <c r="D82" s="16" t="n"/>
      <c r="E82" s="16" t="n"/>
      <c r="F82" s="34" t="n"/>
      <c r="G82" s="18" t="n"/>
      <c r="H82" s="35">
        <f>IF($F82="","",$F82*$G82/100)</f>
        <v/>
      </c>
      <c r="I82" s="18" t="n"/>
      <c r="J82" s="35">
        <f>IF($F82="","",$H82*$I82/100)</f>
        <v/>
      </c>
      <c r="K82" s="18" t="n"/>
      <c r="L82" s="35">
        <f>IF($F82="","",$F82*$K82/100)</f>
        <v/>
      </c>
      <c r="M82" s="20">
        <f>IF($A82="","",ROUNDUP(MONTH($A82)/3,0))</f>
        <v/>
      </c>
    </row>
    <row r="83">
      <c r="A83" s="33" t="n"/>
      <c r="B83" s="16" t="n"/>
      <c r="C83" s="16" t="n"/>
      <c r="D83" s="16" t="n"/>
      <c r="E83" s="16" t="n"/>
      <c r="F83" s="34" t="n"/>
      <c r="G83" s="18" t="n"/>
      <c r="H83" s="35">
        <f>IF($F83="","",$F83*$G83/100)</f>
        <v/>
      </c>
      <c r="I83" s="18" t="n"/>
      <c r="J83" s="35">
        <f>IF($F83="","",$H83*$I83/100)</f>
        <v/>
      </c>
      <c r="K83" s="18" t="n"/>
      <c r="L83" s="35">
        <f>IF($F83="","",$F83*$K83/100)</f>
        <v/>
      </c>
      <c r="M83" s="20">
        <f>IF($A83="","",ROUNDUP(MONTH($A83)/3,0))</f>
        <v/>
      </c>
    </row>
    <row r="84">
      <c r="A84" s="33" t="n"/>
      <c r="B84" s="16" t="n"/>
      <c r="C84" s="16" t="n"/>
      <c r="D84" s="16" t="n"/>
      <c r="E84" s="16" t="n"/>
      <c r="F84" s="34" t="n"/>
      <c r="G84" s="18" t="n"/>
      <c r="H84" s="35">
        <f>IF($F84="","",$F84*$G84/100)</f>
        <v/>
      </c>
      <c r="I84" s="18" t="n"/>
      <c r="J84" s="35">
        <f>IF($F84="","",$H84*$I84/100)</f>
        <v/>
      </c>
      <c r="K84" s="18" t="n"/>
      <c r="L84" s="35">
        <f>IF($F84="","",$F84*$K84/100)</f>
        <v/>
      </c>
      <c r="M84" s="20">
        <f>IF($A84="","",ROUNDUP(MONTH($A84)/3,0))</f>
        <v/>
      </c>
    </row>
    <row r="85">
      <c r="A85" s="33" t="n"/>
      <c r="B85" s="16" t="n"/>
      <c r="C85" s="16" t="n"/>
      <c r="D85" s="16" t="n"/>
      <c r="E85" s="16" t="n"/>
      <c r="F85" s="34" t="n"/>
      <c r="G85" s="18" t="n"/>
      <c r="H85" s="35">
        <f>IF($F85="","",$F85*$G85/100)</f>
        <v/>
      </c>
      <c r="I85" s="18" t="n"/>
      <c r="J85" s="35">
        <f>IF($F85="","",$H85*$I85/100)</f>
        <v/>
      </c>
      <c r="K85" s="18" t="n"/>
      <c r="L85" s="35">
        <f>IF($F85="","",$F85*$K85/100)</f>
        <v/>
      </c>
      <c r="M85" s="20">
        <f>IF($A85="","",ROUNDUP(MONTH($A85)/3,0))</f>
        <v/>
      </c>
    </row>
    <row r="86">
      <c r="A86" s="33" t="n"/>
      <c r="B86" s="16" t="n"/>
      <c r="C86" s="16" t="n"/>
      <c r="D86" s="16" t="n"/>
      <c r="E86" s="16" t="n"/>
      <c r="F86" s="34" t="n"/>
      <c r="G86" s="18" t="n"/>
      <c r="H86" s="35">
        <f>IF($F86="","",$F86*$G86/100)</f>
        <v/>
      </c>
      <c r="I86" s="18" t="n"/>
      <c r="J86" s="35">
        <f>IF($F86="","",$H86*$I86/100)</f>
        <v/>
      </c>
      <c r="K86" s="18" t="n"/>
      <c r="L86" s="35">
        <f>IF($F86="","",$F86*$K86/100)</f>
        <v/>
      </c>
      <c r="M86" s="20">
        <f>IF($A86="","",ROUNDUP(MONTH($A86)/3,0))</f>
        <v/>
      </c>
    </row>
    <row r="87">
      <c r="A87" s="33" t="n"/>
      <c r="B87" s="16" t="n"/>
      <c r="C87" s="16" t="n"/>
      <c r="D87" s="16" t="n"/>
      <c r="E87" s="16" t="n"/>
      <c r="F87" s="34" t="n"/>
      <c r="G87" s="18" t="n"/>
      <c r="H87" s="35">
        <f>IF($F87="","",$F87*$G87/100)</f>
        <v/>
      </c>
      <c r="I87" s="18" t="n"/>
      <c r="J87" s="35">
        <f>IF($F87="","",$H87*$I87/100)</f>
        <v/>
      </c>
      <c r="K87" s="18" t="n"/>
      <c r="L87" s="35">
        <f>IF($F87="","",$F87*$K87/100)</f>
        <v/>
      </c>
      <c r="M87" s="20">
        <f>IF($A87="","",ROUNDUP(MONTH($A87)/3,0))</f>
        <v/>
      </c>
    </row>
    <row r="88">
      <c r="A88" s="33" t="n"/>
      <c r="B88" s="16" t="n"/>
      <c r="C88" s="16" t="n"/>
      <c r="D88" s="16" t="n"/>
      <c r="E88" s="16" t="n"/>
      <c r="F88" s="34" t="n"/>
      <c r="G88" s="18" t="n"/>
      <c r="H88" s="35">
        <f>IF($F88="","",$F88*$G88/100)</f>
        <v/>
      </c>
      <c r="I88" s="18" t="n"/>
      <c r="J88" s="35">
        <f>IF($F88="","",$H88*$I88/100)</f>
        <v/>
      </c>
      <c r="K88" s="18" t="n"/>
      <c r="L88" s="35">
        <f>IF($F88="","",$F88*$K88/100)</f>
        <v/>
      </c>
      <c r="M88" s="20">
        <f>IF($A88="","",ROUNDUP(MONTH($A88)/3,0))</f>
        <v/>
      </c>
    </row>
    <row r="89">
      <c r="A89" s="33" t="n"/>
      <c r="B89" s="16" t="n"/>
      <c r="C89" s="16" t="n"/>
      <c r="D89" s="16" t="n"/>
      <c r="E89" s="16" t="n"/>
      <c r="F89" s="34" t="n"/>
      <c r="G89" s="18" t="n"/>
      <c r="H89" s="35">
        <f>IF($F89="","",$F89*$G89/100)</f>
        <v/>
      </c>
      <c r="I89" s="18" t="n"/>
      <c r="J89" s="35">
        <f>IF($F89="","",$H89*$I89/100)</f>
        <v/>
      </c>
      <c r="K89" s="18" t="n"/>
      <c r="L89" s="35">
        <f>IF($F89="","",$F89*$K89/100)</f>
        <v/>
      </c>
      <c r="M89" s="20">
        <f>IF($A89="","",ROUNDUP(MONTH($A89)/3,0))</f>
        <v/>
      </c>
    </row>
    <row r="90">
      <c r="A90" s="33" t="n"/>
      <c r="B90" s="16" t="n"/>
      <c r="C90" s="16" t="n"/>
      <c r="D90" s="16" t="n"/>
      <c r="E90" s="16" t="n"/>
      <c r="F90" s="34" t="n"/>
      <c r="G90" s="18" t="n"/>
      <c r="H90" s="35">
        <f>IF($F90="","",$F90*$G90/100)</f>
        <v/>
      </c>
      <c r="I90" s="18" t="n"/>
      <c r="J90" s="35">
        <f>IF($F90="","",$H90*$I90/100)</f>
        <v/>
      </c>
      <c r="K90" s="18" t="n"/>
      <c r="L90" s="35">
        <f>IF($F90="","",$F90*$K90/100)</f>
        <v/>
      </c>
      <c r="M90" s="20">
        <f>IF($A90="","",ROUNDUP(MONTH($A90)/3,0))</f>
        <v/>
      </c>
    </row>
    <row r="91">
      <c r="A91" s="33" t="n"/>
      <c r="B91" s="16" t="n"/>
      <c r="C91" s="16" t="n"/>
      <c r="D91" s="16" t="n"/>
      <c r="E91" s="16" t="n"/>
      <c r="F91" s="34" t="n"/>
      <c r="G91" s="18" t="n"/>
      <c r="H91" s="35">
        <f>IF($F91="","",$F91*$G91/100)</f>
        <v/>
      </c>
      <c r="I91" s="18" t="n"/>
      <c r="J91" s="35">
        <f>IF($F91="","",$H91*$I91/100)</f>
        <v/>
      </c>
      <c r="K91" s="18" t="n"/>
      <c r="L91" s="35">
        <f>IF($F91="","",$F91*$K91/100)</f>
        <v/>
      </c>
      <c r="M91" s="20">
        <f>IF($A91="","",ROUNDUP(MONTH($A91)/3,0))</f>
        <v/>
      </c>
    </row>
    <row r="92">
      <c r="A92" s="33" t="n"/>
      <c r="B92" s="16" t="n"/>
      <c r="C92" s="16" t="n"/>
      <c r="D92" s="16" t="n"/>
      <c r="E92" s="16" t="n"/>
      <c r="F92" s="34" t="n"/>
      <c r="G92" s="18" t="n"/>
      <c r="H92" s="35">
        <f>IF($F92="","",$F92*$G92/100)</f>
        <v/>
      </c>
      <c r="I92" s="18" t="n"/>
      <c r="J92" s="35">
        <f>IF($F92="","",$H92*$I92/100)</f>
        <v/>
      </c>
      <c r="K92" s="18" t="n"/>
      <c r="L92" s="35">
        <f>IF($F92="","",$F92*$K92/100)</f>
        <v/>
      </c>
      <c r="M92" s="20">
        <f>IF($A92="","",ROUNDUP(MONTH($A92)/3,0))</f>
        <v/>
      </c>
    </row>
    <row r="93">
      <c r="A93" s="33" t="n"/>
      <c r="B93" s="16" t="n"/>
      <c r="C93" s="16" t="n"/>
      <c r="D93" s="16" t="n"/>
      <c r="E93" s="16" t="n"/>
      <c r="F93" s="34" t="n"/>
      <c r="G93" s="18" t="n"/>
      <c r="H93" s="35">
        <f>IF($F93="","",$F93*$G93/100)</f>
        <v/>
      </c>
      <c r="I93" s="18" t="n"/>
      <c r="J93" s="35">
        <f>IF($F93="","",$H93*$I93/100)</f>
        <v/>
      </c>
      <c r="K93" s="18" t="n"/>
      <c r="L93" s="35">
        <f>IF($F93="","",$F93*$K93/100)</f>
        <v/>
      </c>
      <c r="M93" s="20">
        <f>IF($A93="","",ROUNDUP(MONTH($A93)/3,0))</f>
        <v/>
      </c>
    </row>
    <row r="94">
      <c r="A94" s="33" t="n"/>
      <c r="B94" s="16" t="n"/>
      <c r="C94" s="16" t="n"/>
      <c r="D94" s="16" t="n"/>
      <c r="E94" s="16" t="n"/>
      <c r="F94" s="34" t="n"/>
      <c r="G94" s="18" t="n"/>
      <c r="H94" s="35">
        <f>IF($F94="","",$F94*$G94/100)</f>
        <v/>
      </c>
      <c r="I94" s="18" t="n"/>
      <c r="J94" s="35">
        <f>IF($F94="","",$H94*$I94/100)</f>
        <v/>
      </c>
      <c r="K94" s="18" t="n"/>
      <c r="L94" s="35">
        <f>IF($F94="","",$F94*$K94/100)</f>
        <v/>
      </c>
      <c r="M94" s="20">
        <f>IF($A94="","",ROUNDUP(MONTH($A94)/3,0))</f>
        <v/>
      </c>
    </row>
    <row r="95">
      <c r="A95" s="33" t="n"/>
      <c r="B95" s="16" t="n"/>
      <c r="C95" s="16" t="n"/>
      <c r="D95" s="16" t="n"/>
      <c r="E95" s="16" t="n"/>
      <c r="F95" s="34" t="n"/>
      <c r="G95" s="18" t="n"/>
      <c r="H95" s="35">
        <f>IF($F95="","",$F95*$G95/100)</f>
        <v/>
      </c>
      <c r="I95" s="18" t="n"/>
      <c r="J95" s="35">
        <f>IF($F95="","",$H95*$I95/100)</f>
        <v/>
      </c>
      <c r="K95" s="18" t="n"/>
      <c r="L95" s="35">
        <f>IF($F95="","",$F95*$K95/100)</f>
        <v/>
      </c>
      <c r="M95" s="20">
        <f>IF($A95="","",ROUNDUP(MONTH($A95)/3,0))</f>
        <v/>
      </c>
    </row>
    <row r="96">
      <c r="A96" s="33" t="n"/>
      <c r="B96" s="16" t="n"/>
      <c r="C96" s="16" t="n"/>
      <c r="D96" s="16" t="n"/>
      <c r="E96" s="16" t="n"/>
      <c r="F96" s="34" t="n"/>
      <c r="G96" s="18" t="n"/>
      <c r="H96" s="35">
        <f>IF($F96="","",$F96*$G96/100)</f>
        <v/>
      </c>
      <c r="I96" s="18" t="n"/>
      <c r="J96" s="35">
        <f>IF($F96="","",$H96*$I96/100)</f>
        <v/>
      </c>
      <c r="K96" s="18" t="n"/>
      <c r="L96" s="35">
        <f>IF($F96="","",$F96*$K96/100)</f>
        <v/>
      </c>
      <c r="M96" s="20">
        <f>IF($A96="","",ROUNDUP(MONTH($A96)/3,0))</f>
        <v/>
      </c>
    </row>
    <row r="97">
      <c r="A97" s="33" t="n"/>
      <c r="B97" s="16" t="n"/>
      <c r="C97" s="16" t="n"/>
      <c r="D97" s="16" t="n"/>
      <c r="E97" s="16" t="n"/>
      <c r="F97" s="34" t="n"/>
      <c r="G97" s="18" t="n"/>
      <c r="H97" s="35">
        <f>IF($F97="","",$F97*$G97/100)</f>
        <v/>
      </c>
      <c r="I97" s="18" t="n"/>
      <c r="J97" s="35">
        <f>IF($F97="","",$H97*$I97/100)</f>
        <v/>
      </c>
      <c r="K97" s="18" t="n"/>
      <c r="L97" s="35">
        <f>IF($F97="","",$F97*$K97/100)</f>
        <v/>
      </c>
      <c r="M97" s="20">
        <f>IF($A97="","",ROUNDUP(MONTH($A97)/3,0))</f>
        <v/>
      </c>
    </row>
    <row r="98">
      <c r="A98" s="33" t="n"/>
      <c r="B98" s="16" t="n"/>
      <c r="C98" s="16" t="n"/>
      <c r="D98" s="16" t="n"/>
      <c r="E98" s="16" t="n"/>
      <c r="F98" s="34" t="n"/>
      <c r="G98" s="18" t="n"/>
      <c r="H98" s="35">
        <f>IF($F98="","",$F98*$G98/100)</f>
        <v/>
      </c>
      <c r="I98" s="18" t="n"/>
      <c r="J98" s="35">
        <f>IF($F98="","",$H98*$I98/100)</f>
        <v/>
      </c>
      <c r="K98" s="18" t="n"/>
      <c r="L98" s="35">
        <f>IF($F98="","",$F98*$K98/100)</f>
        <v/>
      </c>
      <c r="M98" s="20">
        <f>IF($A98="","",ROUNDUP(MONTH($A98)/3,0))</f>
        <v/>
      </c>
    </row>
    <row r="99">
      <c r="A99" s="33" t="n"/>
      <c r="B99" s="16" t="n"/>
      <c r="C99" s="16" t="n"/>
      <c r="D99" s="16" t="n"/>
      <c r="E99" s="16" t="n"/>
      <c r="F99" s="34" t="n"/>
      <c r="G99" s="18" t="n"/>
      <c r="H99" s="35">
        <f>IF($F99="","",$F99*$G99/100)</f>
        <v/>
      </c>
      <c r="I99" s="18" t="n"/>
      <c r="J99" s="35">
        <f>IF($F99="","",$H99*$I99/100)</f>
        <v/>
      </c>
      <c r="K99" s="18" t="n"/>
      <c r="L99" s="35">
        <f>IF($F99="","",$F99*$K99/100)</f>
        <v/>
      </c>
      <c r="M99" s="20">
        <f>IF($A99="","",ROUNDUP(MONTH($A99)/3,0))</f>
        <v/>
      </c>
    </row>
    <row r="100">
      <c r="A100" s="33" t="n"/>
      <c r="B100" s="16" t="n"/>
      <c r="C100" s="16" t="n"/>
      <c r="D100" s="16" t="n"/>
      <c r="E100" s="16" t="n"/>
      <c r="F100" s="34" t="n"/>
      <c r="G100" s="18" t="n"/>
      <c r="H100" s="35">
        <f>IF($F100="","",$F100*$G100/100)</f>
        <v/>
      </c>
      <c r="I100" s="18" t="n"/>
      <c r="J100" s="35">
        <f>IF($F100="","",$H100*$I100/100)</f>
        <v/>
      </c>
      <c r="K100" s="18" t="n"/>
      <c r="L100" s="35">
        <f>IF($F100="","",$F100*$K100/100)</f>
        <v/>
      </c>
      <c r="M100" s="20">
        <f>IF($A100="","",ROUNDUP(MONTH($A100)/3,0))</f>
        <v/>
      </c>
    </row>
    <row r="101">
      <c r="A101" s="33" t="n"/>
      <c r="B101" s="16" t="n"/>
      <c r="C101" s="16" t="n"/>
      <c r="D101" s="16" t="n"/>
      <c r="E101" s="16" t="n"/>
      <c r="F101" s="34" t="n"/>
      <c r="G101" s="18" t="n"/>
      <c r="H101" s="35">
        <f>IF($F101="","",$F101*$G101/100)</f>
        <v/>
      </c>
      <c r="I101" s="18" t="n"/>
      <c r="J101" s="35">
        <f>IF($F101="","",$H101*$I101/100)</f>
        <v/>
      </c>
      <c r="K101" s="18" t="n"/>
      <c r="L101" s="35">
        <f>IF($F101="","",$F101*$K101/100)</f>
        <v/>
      </c>
      <c r="M101" s="20">
        <f>IF($A101="","",ROUNDUP(MONTH($A101)/3,0))</f>
        <v/>
      </c>
    </row>
    <row r="102">
      <c r="A102" s="33" t="n"/>
      <c r="B102" s="16" t="n"/>
      <c r="C102" s="16" t="n"/>
      <c r="D102" s="16" t="n"/>
      <c r="E102" s="16" t="n"/>
      <c r="F102" s="34" t="n"/>
      <c r="G102" s="18" t="n"/>
      <c r="H102" s="35">
        <f>IF($F102="","",$F102*$G102/100)</f>
        <v/>
      </c>
      <c r="I102" s="18" t="n"/>
      <c r="J102" s="35">
        <f>IF($F102="","",$H102*$I102/100)</f>
        <v/>
      </c>
      <c r="K102" s="18" t="n"/>
      <c r="L102" s="35">
        <f>IF($F102="","",$F102*$K102/100)</f>
        <v/>
      </c>
      <c r="M102" s="20">
        <f>IF($A102="","",ROUNDUP(MONTH($A102)/3,0))</f>
        <v/>
      </c>
    </row>
    <row r="103">
      <c r="A103" s="33" t="n"/>
      <c r="B103" s="16" t="n"/>
      <c r="C103" s="16" t="n"/>
      <c r="D103" s="16" t="n"/>
      <c r="E103" s="16" t="n"/>
      <c r="F103" s="34" t="n"/>
      <c r="G103" s="18" t="n"/>
      <c r="H103" s="35">
        <f>IF($F103="","",$F103*$G103/100)</f>
        <v/>
      </c>
      <c r="I103" s="18" t="n"/>
      <c r="J103" s="35">
        <f>IF($F103="","",$H103*$I103/100)</f>
        <v/>
      </c>
      <c r="K103" s="18" t="n"/>
      <c r="L103" s="35">
        <f>IF($F103="","",$F103*$K103/100)</f>
        <v/>
      </c>
      <c r="M103" s="20">
        <f>IF($A103="","",ROUNDUP(MONTH($A103)/3,0))</f>
        <v/>
      </c>
    </row>
    <row r="104">
      <c r="A104" s="33" t="n"/>
      <c r="B104" s="16" t="n"/>
      <c r="C104" s="16" t="n"/>
      <c r="D104" s="16" t="n"/>
      <c r="E104" s="16" t="n"/>
      <c r="F104" s="34" t="n"/>
      <c r="G104" s="18" t="n"/>
      <c r="H104" s="35">
        <f>IF($F104="","",$F104*$G104/100)</f>
        <v/>
      </c>
      <c r="I104" s="18" t="n"/>
      <c r="J104" s="35">
        <f>IF($F104="","",$H104*$I104/100)</f>
        <v/>
      </c>
      <c r="K104" s="18" t="n"/>
      <c r="L104" s="35">
        <f>IF($F104="","",$F104*$K104/100)</f>
        <v/>
      </c>
      <c r="M104" s="20">
        <f>IF($A104="","",ROUNDUP(MONTH($A104)/3,0))</f>
        <v/>
      </c>
    </row>
    <row r="105">
      <c r="A105" s="33" t="n"/>
      <c r="B105" s="16" t="n"/>
      <c r="C105" s="16" t="n"/>
      <c r="D105" s="16" t="n"/>
      <c r="E105" s="16" t="n"/>
      <c r="F105" s="34" t="n"/>
      <c r="G105" s="18" t="n"/>
      <c r="H105" s="35">
        <f>IF($F105="","",$F105*$G105/100)</f>
        <v/>
      </c>
      <c r="I105" s="18" t="n"/>
      <c r="J105" s="35">
        <f>IF($F105="","",$H105*$I105/100)</f>
        <v/>
      </c>
      <c r="K105" s="18" t="n"/>
      <c r="L105" s="35">
        <f>IF($F105="","",$F105*$K105/100)</f>
        <v/>
      </c>
      <c r="M105" s="20">
        <f>IF($A105="","",ROUNDUP(MONTH($A105)/3,0))</f>
        <v/>
      </c>
    </row>
    <row r="106">
      <c r="A106" s="33" t="n"/>
      <c r="B106" s="16" t="n"/>
      <c r="C106" s="16" t="n"/>
      <c r="D106" s="16" t="n"/>
      <c r="E106" s="16" t="n"/>
      <c r="F106" s="34" t="n"/>
      <c r="G106" s="18" t="n"/>
      <c r="H106" s="35">
        <f>IF($F106="","",$F106*$G106/100)</f>
        <v/>
      </c>
      <c r="I106" s="18" t="n"/>
      <c r="J106" s="35">
        <f>IF($F106="","",$H106*$I106/100)</f>
        <v/>
      </c>
      <c r="K106" s="18" t="n"/>
      <c r="L106" s="35">
        <f>IF($F106="","",$F106*$K106/100)</f>
        <v/>
      </c>
      <c r="M106" s="20">
        <f>IF($A106="","",ROUNDUP(MONTH($A106)/3,0))</f>
        <v/>
      </c>
    </row>
    <row r="107">
      <c r="A107" s="33" t="n"/>
      <c r="B107" s="16" t="n"/>
      <c r="C107" s="16" t="n"/>
      <c r="D107" s="16" t="n"/>
      <c r="E107" s="16" t="n"/>
      <c r="F107" s="34" t="n"/>
      <c r="G107" s="18" t="n"/>
      <c r="H107" s="35">
        <f>IF($F107="","",$F107*$G107/100)</f>
        <v/>
      </c>
      <c r="I107" s="18" t="n"/>
      <c r="J107" s="35">
        <f>IF($F107="","",$H107*$I107/100)</f>
        <v/>
      </c>
      <c r="K107" s="18" t="n"/>
      <c r="L107" s="35">
        <f>IF($F107="","",$F107*$K107/100)</f>
        <v/>
      </c>
      <c r="M107" s="20">
        <f>IF($A107="","",ROUNDUP(MONTH($A107)/3,0))</f>
        <v/>
      </c>
    </row>
    <row r="108">
      <c r="A108" s="33" t="n"/>
      <c r="B108" s="16" t="n"/>
      <c r="C108" s="16" t="n"/>
      <c r="D108" s="16" t="n"/>
      <c r="E108" s="16" t="n"/>
      <c r="F108" s="34" t="n"/>
      <c r="G108" s="18" t="n"/>
      <c r="H108" s="35">
        <f>IF($F108="","",$F108*$G108/100)</f>
        <v/>
      </c>
      <c r="I108" s="18" t="n"/>
      <c r="J108" s="35">
        <f>IF($F108="","",$H108*$I108/100)</f>
        <v/>
      </c>
      <c r="K108" s="18" t="n"/>
      <c r="L108" s="35">
        <f>IF($F108="","",$F108*$K108/100)</f>
        <v/>
      </c>
      <c r="M108" s="20">
        <f>IF($A108="","",ROUNDUP(MONTH($A108)/3,0))</f>
        <v/>
      </c>
    </row>
    <row r="109">
      <c r="A109" s="33" t="n"/>
      <c r="B109" s="16" t="n"/>
      <c r="C109" s="16" t="n"/>
      <c r="D109" s="16" t="n"/>
      <c r="E109" s="16" t="n"/>
      <c r="F109" s="34" t="n"/>
      <c r="G109" s="18" t="n"/>
      <c r="H109" s="35">
        <f>IF($F109="","",$F109*$G109/100)</f>
        <v/>
      </c>
      <c r="I109" s="18" t="n"/>
      <c r="J109" s="35">
        <f>IF($F109="","",$H109*$I109/100)</f>
        <v/>
      </c>
      <c r="K109" s="18" t="n"/>
      <c r="L109" s="35">
        <f>IF($F109="","",$F109*$K109/100)</f>
        <v/>
      </c>
      <c r="M109" s="20">
        <f>IF($A109="","",ROUNDUP(MONTH($A109)/3,0))</f>
        <v/>
      </c>
    </row>
    <row r="110">
      <c r="A110" s="33" t="n"/>
      <c r="B110" s="16" t="n"/>
      <c r="C110" s="16" t="n"/>
      <c r="D110" s="16" t="n"/>
      <c r="E110" s="16" t="n"/>
      <c r="F110" s="34" t="n"/>
      <c r="G110" s="18" t="n"/>
      <c r="H110" s="35">
        <f>IF($F110="","",$F110*$G110/100)</f>
        <v/>
      </c>
      <c r="I110" s="18" t="n"/>
      <c r="J110" s="35">
        <f>IF($F110="","",$H110*$I110/100)</f>
        <v/>
      </c>
      <c r="K110" s="18" t="n"/>
      <c r="L110" s="35">
        <f>IF($F110="","",$F110*$K110/100)</f>
        <v/>
      </c>
      <c r="M110" s="20">
        <f>IF($A110="","",ROUNDUP(MONTH($A110)/3,0))</f>
        <v/>
      </c>
    </row>
    <row r="111">
      <c r="A111" s="33" t="n"/>
      <c r="B111" s="16" t="n"/>
      <c r="C111" s="16" t="n"/>
      <c r="D111" s="16" t="n"/>
      <c r="E111" s="16" t="n"/>
      <c r="F111" s="34" t="n"/>
      <c r="G111" s="18" t="n"/>
      <c r="H111" s="35">
        <f>IF($F111="","",$F111*$G111/100)</f>
        <v/>
      </c>
      <c r="I111" s="18" t="n"/>
      <c r="J111" s="35">
        <f>IF($F111="","",$H111*$I111/100)</f>
        <v/>
      </c>
      <c r="K111" s="18" t="n"/>
      <c r="L111" s="35">
        <f>IF($F111="","",$F111*$K111/100)</f>
        <v/>
      </c>
      <c r="M111" s="20">
        <f>IF($A111="","",ROUNDUP(MONTH($A111)/3,0))</f>
        <v/>
      </c>
    </row>
    <row r="112">
      <c r="A112" s="33" t="n"/>
      <c r="B112" s="16" t="n"/>
      <c r="C112" s="16" t="n"/>
      <c r="D112" s="16" t="n"/>
      <c r="E112" s="16" t="n"/>
      <c r="F112" s="34" t="n"/>
      <c r="G112" s="18" t="n"/>
      <c r="H112" s="35">
        <f>IF($F112="","",$F112*$G112/100)</f>
        <v/>
      </c>
      <c r="I112" s="18" t="n"/>
      <c r="J112" s="35">
        <f>IF($F112="","",$H112*$I112/100)</f>
        <v/>
      </c>
      <c r="K112" s="18" t="n"/>
      <c r="L112" s="35">
        <f>IF($F112="","",$F112*$K112/100)</f>
        <v/>
      </c>
      <c r="M112" s="20">
        <f>IF($A112="","",ROUNDUP(MONTH($A112)/3,0))</f>
        <v/>
      </c>
    </row>
    <row r="113">
      <c r="A113" s="33" t="n"/>
      <c r="B113" s="16" t="n"/>
      <c r="C113" s="16" t="n"/>
      <c r="D113" s="16" t="n"/>
      <c r="E113" s="16" t="n"/>
      <c r="F113" s="34" t="n"/>
      <c r="G113" s="18" t="n"/>
      <c r="H113" s="35">
        <f>IF($F113="","",$F113*$G113/100)</f>
        <v/>
      </c>
      <c r="I113" s="18" t="n"/>
      <c r="J113" s="35">
        <f>IF($F113="","",$H113*$I113/100)</f>
        <v/>
      </c>
      <c r="K113" s="18" t="n"/>
      <c r="L113" s="35">
        <f>IF($F113="","",$F113*$K113/100)</f>
        <v/>
      </c>
      <c r="M113" s="20">
        <f>IF($A113="","",ROUNDUP(MONTH($A113)/3,0))</f>
        <v/>
      </c>
    </row>
    <row r="114">
      <c r="A114" s="33" t="n"/>
      <c r="B114" s="16" t="n"/>
      <c r="C114" s="16" t="n"/>
      <c r="D114" s="16" t="n"/>
      <c r="E114" s="16" t="n"/>
      <c r="F114" s="34" t="n"/>
      <c r="G114" s="18" t="n"/>
      <c r="H114" s="35">
        <f>IF($F114="","",$F114*$G114/100)</f>
        <v/>
      </c>
      <c r="I114" s="18" t="n"/>
      <c r="J114" s="35">
        <f>IF($F114="","",$H114*$I114/100)</f>
        <v/>
      </c>
      <c r="K114" s="18" t="n"/>
      <c r="L114" s="35">
        <f>IF($F114="","",$F114*$K114/100)</f>
        <v/>
      </c>
      <c r="M114" s="20">
        <f>IF($A114="","",ROUNDUP(MONTH($A114)/3,0))</f>
        <v/>
      </c>
    </row>
    <row r="115">
      <c r="A115" s="33" t="n"/>
      <c r="B115" s="16" t="n"/>
      <c r="C115" s="16" t="n"/>
      <c r="D115" s="16" t="n"/>
      <c r="E115" s="16" t="n"/>
      <c r="F115" s="34" t="n"/>
      <c r="G115" s="18" t="n"/>
      <c r="H115" s="35">
        <f>IF($F115="","",$F115*$G115/100)</f>
        <v/>
      </c>
      <c r="I115" s="18" t="n"/>
      <c r="J115" s="35">
        <f>IF($F115="","",$H115*$I115/100)</f>
        <v/>
      </c>
      <c r="K115" s="18" t="n"/>
      <c r="L115" s="35">
        <f>IF($F115="","",$F115*$K115/100)</f>
        <v/>
      </c>
      <c r="M115" s="20">
        <f>IF($A115="","",ROUNDUP(MONTH($A115)/3,0))</f>
        <v/>
      </c>
    </row>
    <row r="116">
      <c r="A116" s="33" t="n"/>
      <c r="B116" s="16" t="n"/>
      <c r="C116" s="16" t="n"/>
      <c r="D116" s="16" t="n"/>
      <c r="E116" s="16" t="n"/>
      <c r="F116" s="34" t="n"/>
      <c r="G116" s="18" t="n"/>
      <c r="H116" s="35">
        <f>IF($F116="","",$F116*$G116/100)</f>
        <v/>
      </c>
      <c r="I116" s="18" t="n"/>
      <c r="J116" s="35">
        <f>IF($F116="","",$H116*$I116/100)</f>
        <v/>
      </c>
      <c r="K116" s="18" t="n"/>
      <c r="L116" s="35">
        <f>IF($F116="","",$F116*$K116/100)</f>
        <v/>
      </c>
      <c r="M116" s="20">
        <f>IF($A116="","",ROUNDUP(MONTH($A116)/3,0))</f>
        <v/>
      </c>
    </row>
    <row r="117">
      <c r="A117" s="33" t="n"/>
      <c r="B117" s="16" t="n"/>
      <c r="C117" s="16" t="n"/>
      <c r="D117" s="16" t="n"/>
      <c r="E117" s="16" t="n"/>
      <c r="F117" s="34" t="n"/>
      <c r="G117" s="18" t="n"/>
      <c r="H117" s="35">
        <f>IF($F117="","",$F117*$G117/100)</f>
        <v/>
      </c>
      <c r="I117" s="18" t="n"/>
      <c r="J117" s="35">
        <f>IF($F117="","",$H117*$I117/100)</f>
        <v/>
      </c>
      <c r="K117" s="18" t="n"/>
      <c r="L117" s="35">
        <f>IF($F117="","",$F117*$K117/100)</f>
        <v/>
      </c>
      <c r="M117" s="20">
        <f>IF($A117="","",ROUNDUP(MONTH($A117)/3,0))</f>
        <v/>
      </c>
    </row>
    <row r="118">
      <c r="A118" s="33" t="n"/>
      <c r="B118" s="16" t="n"/>
      <c r="C118" s="16" t="n"/>
      <c r="D118" s="16" t="n"/>
      <c r="E118" s="16" t="n"/>
      <c r="F118" s="34" t="n"/>
      <c r="G118" s="18" t="n"/>
      <c r="H118" s="35">
        <f>IF($F118="","",$F118*$G118/100)</f>
        <v/>
      </c>
      <c r="I118" s="18" t="n"/>
      <c r="J118" s="35">
        <f>IF($F118="","",$H118*$I118/100)</f>
        <v/>
      </c>
      <c r="K118" s="18" t="n"/>
      <c r="L118" s="35">
        <f>IF($F118="","",$F118*$K118/100)</f>
        <v/>
      </c>
      <c r="M118" s="20">
        <f>IF($A118="","",ROUNDUP(MONTH($A118)/3,0))</f>
        <v/>
      </c>
    </row>
    <row r="119">
      <c r="A119" s="33" t="n"/>
      <c r="B119" s="16" t="n"/>
      <c r="C119" s="16" t="n"/>
      <c r="D119" s="16" t="n"/>
      <c r="E119" s="16" t="n"/>
      <c r="F119" s="34" t="n"/>
      <c r="G119" s="18" t="n"/>
      <c r="H119" s="35">
        <f>IF($F119="","",$F119*$G119/100)</f>
        <v/>
      </c>
      <c r="I119" s="18" t="n"/>
      <c r="J119" s="35">
        <f>IF($F119="","",$H119*$I119/100)</f>
        <v/>
      </c>
      <c r="K119" s="18" t="n"/>
      <c r="L119" s="35">
        <f>IF($F119="","",$F119*$K119/100)</f>
        <v/>
      </c>
      <c r="M119" s="20">
        <f>IF($A119="","",ROUNDUP(MONTH($A119)/3,0))</f>
        <v/>
      </c>
    </row>
    <row r="120">
      <c r="A120" s="33" t="n"/>
      <c r="B120" s="16" t="n"/>
      <c r="C120" s="16" t="n"/>
      <c r="D120" s="16" t="n"/>
      <c r="E120" s="16" t="n"/>
      <c r="F120" s="34" t="n"/>
      <c r="G120" s="18" t="n"/>
      <c r="H120" s="35">
        <f>IF($F120="","",$F120*$G120/100)</f>
        <v/>
      </c>
      <c r="I120" s="18" t="n"/>
      <c r="J120" s="35">
        <f>IF($F120="","",$H120*$I120/100)</f>
        <v/>
      </c>
      <c r="K120" s="18" t="n"/>
      <c r="L120" s="35">
        <f>IF($F120="","",$F120*$K120/100)</f>
        <v/>
      </c>
      <c r="M120" s="20">
        <f>IF($A120="","",ROUNDUP(MONTH($A120)/3,0))</f>
        <v/>
      </c>
    </row>
    <row r="121">
      <c r="A121" s="33" t="n"/>
      <c r="B121" s="16" t="n"/>
      <c r="C121" s="16" t="n"/>
      <c r="D121" s="16" t="n"/>
      <c r="E121" s="16" t="n"/>
      <c r="F121" s="34" t="n"/>
      <c r="G121" s="18" t="n"/>
      <c r="H121" s="35">
        <f>IF($F121="","",$F121*$G121/100)</f>
        <v/>
      </c>
      <c r="I121" s="18" t="n"/>
      <c r="J121" s="35">
        <f>IF($F121="","",$H121*$I121/100)</f>
        <v/>
      </c>
      <c r="K121" s="18" t="n"/>
      <c r="L121" s="35">
        <f>IF($F121="","",$F121*$K121/100)</f>
        <v/>
      </c>
      <c r="M121" s="20">
        <f>IF($A121="","",ROUNDUP(MONTH($A121)/3,0))</f>
        <v/>
      </c>
    </row>
    <row r="122">
      <c r="A122" s="33" t="n"/>
      <c r="B122" s="16" t="n"/>
      <c r="C122" s="16" t="n"/>
      <c r="D122" s="16" t="n"/>
      <c r="E122" s="16" t="n"/>
      <c r="F122" s="34" t="n"/>
      <c r="G122" s="18" t="n"/>
      <c r="H122" s="35">
        <f>IF($F122="","",$F122*$G122/100)</f>
        <v/>
      </c>
      <c r="I122" s="18" t="n"/>
      <c r="J122" s="35">
        <f>IF($F122="","",$H122*$I122/100)</f>
        <v/>
      </c>
      <c r="K122" s="18" t="n"/>
      <c r="L122" s="35">
        <f>IF($F122="","",$F122*$K122/100)</f>
        <v/>
      </c>
      <c r="M122" s="20">
        <f>IF($A122="","",ROUNDUP(MONTH($A122)/3,0))</f>
        <v/>
      </c>
    </row>
    <row r="123">
      <c r="A123" s="33" t="n"/>
      <c r="B123" s="16" t="n"/>
      <c r="C123" s="16" t="n"/>
      <c r="D123" s="16" t="n"/>
      <c r="E123" s="16" t="n"/>
      <c r="F123" s="34" t="n"/>
      <c r="G123" s="18" t="n"/>
      <c r="H123" s="35">
        <f>IF($F123="","",$F123*$G123/100)</f>
        <v/>
      </c>
      <c r="I123" s="18" t="n"/>
      <c r="J123" s="35">
        <f>IF($F123="","",$H123*$I123/100)</f>
        <v/>
      </c>
      <c r="K123" s="18" t="n"/>
      <c r="L123" s="35">
        <f>IF($F123="","",$F123*$K123/100)</f>
        <v/>
      </c>
      <c r="M123" s="20">
        <f>IF($A123="","",ROUNDUP(MONTH($A123)/3,0))</f>
        <v/>
      </c>
    </row>
    <row r="124">
      <c r="A124" s="33" t="n"/>
      <c r="B124" s="16" t="n"/>
      <c r="C124" s="16" t="n"/>
      <c r="D124" s="16" t="n"/>
      <c r="E124" s="16" t="n"/>
      <c r="F124" s="34" t="n"/>
      <c r="G124" s="18" t="n"/>
      <c r="H124" s="35">
        <f>IF($F124="","",$F124*$G124/100)</f>
        <v/>
      </c>
      <c r="I124" s="18" t="n"/>
      <c r="J124" s="35">
        <f>IF($F124="","",$H124*$I124/100)</f>
        <v/>
      </c>
      <c r="K124" s="18" t="n"/>
      <c r="L124" s="35">
        <f>IF($F124="","",$F124*$K124/100)</f>
        <v/>
      </c>
      <c r="M124" s="20">
        <f>IF($A124="","",ROUNDUP(MONTH($A124)/3,0))</f>
        <v/>
      </c>
    </row>
    <row r="125">
      <c r="A125" s="33" t="n"/>
      <c r="B125" s="16" t="n"/>
      <c r="C125" s="16" t="n"/>
      <c r="D125" s="16" t="n"/>
      <c r="E125" s="16" t="n"/>
      <c r="F125" s="34" t="n"/>
      <c r="G125" s="18" t="n"/>
      <c r="H125" s="35">
        <f>IF($F125="","",$F125*$G125/100)</f>
        <v/>
      </c>
      <c r="I125" s="18" t="n"/>
      <c r="J125" s="35">
        <f>IF($F125="","",$H125*$I125/100)</f>
        <v/>
      </c>
      <c r="K125" s="18" t="n"/>
      <c r="L125" s="35">
        <f>IF($F125="","",$F125*$K125/100)</f>
        <v/>
      </c>
      <c r="M125" s="20">
        <f>IF($A125="","",ROUNDUP(MONTH($A125)/3,0))</f>
        <v/>
      </c>
    </row>
    <row r="126">
      <c r="A126" s="33" t="n"/>
      <c r="B126" s="16" t="n"/>
      <c r="C126" s="16" t="n"/>
      <c r="D126" s="16" t="n"/>
      <c r="E126" s="16" t="n"/>
      <c r="F126" s="34" t="n"/>
      <c r="G126" s="18" t="n"/>
      <c r="H126" s="35">
        <f>IF($F126="","",$F126*$G126/100)</f>
        <v/>
      </c>
      <c r="I126" s="18" t="n"/>
      <c r="J126" s="35">
        <f>IF($F126="","",$H126*$I126/100)</f>
        <v/>
      </c>
      <c r="K126" s="18" t="n"/>
      <c r="L126" s="35">
        <f>IF($F126="","",$F126*$K126/100)</f>
        <v/>
      </c>
      <c r="M126" s="20">
        <f>IF($A126="","",ROUNDUP(MONTH($A126)/3,0))</f>
        <v/>
      </c>
    </row>
    <row r="127">
      <c r="A127" s="33" t="n"/>
      <c r="B127" s="16" t="n"/>
      <c r="C127" s="16" t="n"/>
      <c r="D127" s="16" t="n"/>
      <c r="E127" s="16" t="n"/>
      <c r="F127" s="34" t="n"/>
      <c r="G127" s="18" t="n"/>
      <c r="H127" s="35">
        <f>IF($F127="","",$F127*$G127/100)</f>
        <v/>
      </c>
      <c r="I127" s="18" t="n"/>
      <c r="J127" s="35">
        <f>IF($F127="","",$H127*$I127/100)</f>
        <v/>
      </c>
      <c r="K127" s="18" t="n"/>
      <c r="L127" s="35">
        <f>IF($F127="","",$F127*$K127/100)</f>
        <v/>
      </c>
      <c r="M127" s="20">
        <f>IF($A127="","",ROUNDUP(MONTH($A127)/3,0))</f>
        <v/>
      </c>
    </row>
    <row r="128">
      <c r="A128" s="33" t="n"/>
      <c r="B128" s="16" t="n"/>
      <c r="C128" s="16" t="n"/>
      <c r="D128" s="16" t="n"/>
      <c r="E128" s="16" t="n"/>
      <c r="F128" s="34" t="n"/>
      <c r="G128" s="18" t="n"/>
      <c r="H128" s="35">
        <f>IF($F128="","",$F128*$G128/100)</f>
        <v/>
      </c>
      <c r="I128" s="18" t="n"/>
      <c r="J128" s="35">
        <f>IF($F128="","",$H128*$I128/100)</f>
        <v/>
      </c>
      <c r="K128" s="18" t="n"/>
      <c r="L128" s="35">
        <f>IF($F128="","",$F128*$K128/100)</f>
        <v/>
      </c>
      <c r="M128" s="20">
        <f>IF($A128="","",ROUNDUP(MONTH($A128)/3,0))</f>
        <v/>
      </c>
    </row>
    <row r="129">
      <c r="A129" s="33" t="n"/>
      <c r="B129" s="16" t="n"/>
      <c r="C129" s="16" t="n"/>
      <c r="D129" s="16" t="n"/>
      <c r="E129" s="16" t="n"/>
      <c r="F129" s="34" t="n"/>
      <c r="G129" s="18" t="n"/>
      <c r="H129" s="35">
        <f>IF($F129="","",$F129*$G129/100)</f>
        <v/>
      </c>
      <c r="I129" s="18" t="n"/>
      <c r="J129" s="35">
        <f>IF($F129="","",$H129*$I129/100)</f>
        <v/>
      </c>
      <c r="K129" s="18" t="n"/>
      <c r="L129" s="35">
        <f>IF($F129="","",$F129*$K129/100)</f>
        <v/>
      </c>
      <c r="M129" s="20">
        <f>IF($A129="","",ROUNDUP(MONTH($A129)/3,0))</f>
        <v/>
      </c>
    </row>
    <row r="130">
      <c r="A130" s="33" t="n"/>
      <c r="B130" s="16" t="n"/>
      <c r="C130" s="16" t="n"/>
      <c r="D130" s="16" t="n"/>
      <c r="E130" s="16" t="n"/>
      <c r="F130" s="34" t="n"/>
      <c r="G130" s="18" t="n"/>
      <c r="H130" s="35">
        <f>IF($F130="","",$F130*$G130/100)</f>
        <v/>
      </c>
      <c r="I130" s="18" t="n"/>
      <c r="J130" s="35">
        <f>IF($F130="","",$H130*$I130/100)</f>
        <v/>
      </c>
      <c r="K130" s="18" t="n"/>
      <c r="L130" s="35">
        <f>IF($F130="","",$F130*$K130/100)</f>
        <v/>
      </c>
      <c r="M130" s="20">
        <f>IF($A130="","",ROUNDUP(MONTH($A130)/3,0))</f>
        <v/>
      </c>
    </row>
    <row r="131">
      <c r="A131" s="33" t="n"/>
      <c r="B131" s="16" t="n"/>
      <c r="C131" s="16" t="n"/>
      <c r="D131" s="16" t="n"/>
      <c r="E131" s="16" t="n"/>
      <c r="F131" s="34" t="n"/>
      <c r="G131" s="18" t="n"/>
      <c r="H131" s="35">
        <f>IF($F131="","",$F131*$G131/100)</f>
        <v/>
      </c>
      <c r="I131" s="18" t="n"/>
      <c r="J131" s="35">
        <f>IF($F131="","",$H131*$I131/100)</f>
        <v/>
      </c>
      <c r="K131" s="18" t="n"/>
      <c r="L131" s="35">
        <f>IF($F131="","",$F131*$K131/100)</f>
        <v/>
      </c>
      <c r="M131" s="20">
        <f>IF($A131="","",ROUNDUP(MONTH($A131)/3,0))</f>
        <v/>
      </c>
    </row>
    <row r="132">
      <c r="A132" s="33" t="n"/>
      <c r="B132" s="16" t="n"/>
      <c r="C132" s="16" t="n"/>
      <c r="D132" s="16" t="n"/>
      <c r="E132" s="16" t="n"/>
      <c r="F132" s="34" t="n"/>
      <c r="G132" s="18" t="n"/>
      <c r="H132" s="35">
        <f>IF($F132="","",$F132*$G132/100)</f>
        <v/>
      </c>
      <c r="I132" s="18" t="n"/>
      <c r="J132" s="35">
        <f>IF($F132="","",$H132*$I132/100)</f>
        <v/>
      </c>
      <c r="K132" s="18" t="n"/>
      <c r="L132" s="35">
        <f>IF($F132="","",$F132*$K132/100)</f>
        <v/>
      </c>
      <c r="M132" s="20">
        <f>IF($A132="","",ROUNDUP(MONTH($A132)/3,0))</f>
        <v/>
      </c>
    </row>
    <row r="133">
      <c r="A133" s="33" t="n"/>
      <c r="B133" s="16" t="n"/>
      <c r="C133" s="16" t="n"/>
      <c r="D133" s="16" t="n"/>
      <c r="E133" s="16" t="n"/>
      <c r="F133" s="34" t="n"/>
      <c r="G133" s="18" t="n"/>
      <c r="H133" s="35">
        <f>IF($F133="","",$F133*$G133/100)</f>
        <v/>
      </c>
      <c r="I133" s="18" t="n"/>
      <c r="J133" s="35">
        <f>IF($F133="","",$H133*$I133/100)</f>
        <v/>
      </c>
      <c r="K133" s="18" t="n"/>
      <c r="L133" s="35">
        <f>IF($F133="","",$F133*$K133/100)</f>
        <v/>
      </c>
      <c r="M133" s="20">
        <f>IF($A133="","",ROUNDUP(MONTH($A133)/3,0))</f>
        <v/>
      </c>
    </row>
    <row r="134">
      <c r="A134" s="33" t="n"/>
      <c r="B134" s="16" t="n"/>
      <c r="C134" s="16" t="n"/>
      <c r="D134" s="16" t="n"/>
      <c r="E134" s="16" t="n"/>
      <c r="F134" s="34" t="n"/>
      <c r="G134" s="18" t="n"/>
      <c r="H134" s="35">
        <f>IF($F134="","",$F134*$G134/100)</f>
        <v/>
      </c>
      <c r="I134" s="18" t="n"/>
      <c r="J134" s="35">
        <f>IF($F134="","",$H134*$I134/100)</f>
        <v/>
      </c>
      <c r="K134" s="18" t="n"/>
      <c r="L134" s="35">
        <f>IF($F134="","",$F134*$K134/100)</f>
        <v/>
      </c>
      <c r="M134" s="20">
        <f>IF($A134="","",ROUNDUP(MONTH($A134)/3,0))</f>
        <v/>
      </c>
    </row>
    <row r="135">
      <c r="A135" s="33" t="n"/>
      <c r="B135" s="16" t="n"/>
      <c r="C135" s="16" t="n"/>
      <c r="D135" s="16" t="n"/>
      <c r="E135" s="16" t="n"/>
      <c r="F135" s="34" t="n"/>
      <c r="G135" s="18" t="n"/>
      <c r="H135" s="35">
        <f>IF($F135="","",$F135*$G135/100)</f>
        <v/>
      </c>
      <c r="I135" s="18" t="n"/>
      <c r="J135" s="35">
        <f>IF($F135="","",$H135*$I135/100)</f>
        <v/>
      </c>
      <c r="K135" s="18" t="n"/>
      <c r="L135" s="35">
        <f>IF($F135="","",$F135*$K135/100)</f>
        <v/>
      </c>
      <c r="M135" s="20">
        <f>IF($A135="","",ROUNDUP(MONTH($A135)/3,0))</f>
        <v/>
      </c>
    </row>
    <row r="136">
      <c r="A136" s="33" t="n"/>
      <c r="B136" s="16" t="n"/>
      <c r="C136" s="16" t="n"/>
      <c r="D136" s="16" t="n"/>
      <c r="E136" s="16" t="n"/>
      <c r="F136" s="34" t="n"/>
      <c r="G136" s="18" t="n"/>
      <c r="H136" s="35">
        <f>IF($F136="","",$F136*$G136/100)</f>
        <v/>
      </c>
      <c r="I136" s="18" t="n"/>
      <c r="J136" s="35">
        <f>IF($F136="","",$H136*$I136/100)</f>
        <v/>
      </c>
      <c r="K136" s="18" t="n"/>
      <c r="L136" s="35">
        <f>IF($F136="","",$F136*$K136/100)</f>
        <v/>
      </c>
      <c r="M136" s="20">
        <f>IF($A136="","",ROUNDUP(MONTH($A136)/3,0))</f>
        <v/>
      </c>
    </row>
    <row r="137">
      <c r="A137" s="33" t="n"/>
      <c r="B137" s="16" t="n"/>
      <c r="C137" s="16" t="n"/>
      <c r="D137" s="16" t="n"/>
      <c r="E137" s="16" t="n"/>
      <c r="F137" s="34" t="n"/>
      <c r="G137" s="18" t="n"/>
      <c r="H137" s="35">
        <f>IF($F137="","",$F137*$G137/100)</f>
        <v/>
      </c>
      <c r="I137" s="18" t="n"/>
      <c r="J137" s="35">
        <f>IF($F137="","",$H137*$I137/100)</f>
        <v/>
      </c>
      <c r="K137" s="18" t="n"/>
      <c r="L137" s="35">
        <f>IF($F137="","",$F137*$K137/100)</f>
        <v/>
      </c>
      <c r="M137" s="20">
        <f>IF($A137="","",ROUNDUP(MONTH($A137)/3,0))</f>
        <v/>
      </c>
    </row>
    <row r="138">
      <c r="A138" s="33" t="n"/>
      <c r="B138" s="16" t="n"/>
      <c r="C138" s="16" t="n"/>
      <c r="D138" s="16" t="n"/>
      <c r="E138" s="16" t="n"/>
      <c r="F138" s="34" t="n"/>
      <c r="G138" s="18" t="n"/>
      <c r="H138" s="35">
        <f>IF($F138="","",$F138*$G138/100)</f>
        <v/>
      </c>
      <c r="I138" s="18" t="n"/>
      <c r="J138" s="35">
        <f>IF($F138="","",$H138*$I138/100)</f>
        <v/>
      </c>
      <c r="K138" s="18" t="n"/>
      <c r="L138" s="35">
        <f>IF($F138="","",$F138*$K138/100)</f>
        <v/>
      </c>
      <c r="M138" s="20">
        <f>IF($A138="","",ROUNDUP(MONTH($A138)/3,0))</f>
        <v/>
      </c>
    </row>
    <row r="139">
      <c r="A139" s="33" t="n"/>
      <c r="B139" s="16" t="n"/>
      <c r="C139" s="16" t="n"/>
      <c r="D139" s="16" t="n"/>
      <c r="E139" s="16" t="n"/>
      <c r="F139" s="34" t="n"/>
      <c r="G139" s="18" t="n"/>
      <c r="H139" s="35">
        <f>IF($F139="","",$F139*$G139/100)</f>
        <v/>
      </c>
      <c r="I139" s="18" t="n"/>
      <c r="J139" s="35">
        <f>IF($F139="","",$H139*$I139/100)</f>
        <v/>
      </c>
      <c r="K139" s="18" t="n"/>
      <c r="L139" s="35">
        <f>IF($F139="","",$F139*$K139/100)</f>
        <v/>
      </c>
      <c r="M139" s="20">
        <f>IF($A139="","",ROUNDUP(MONTH($A139)/3,0))</f>
        <v/>
      </c>
    </row>
    <row r="140">
      <c r="A140" s="33" t="n"/>
      <c r="B140" s="16" t="n"/>
      <c r="C140" s="16" t="n"/>
      <c r="D140" s="16" t="n"/>
      <c r="E140" s="16" t="n"/>
      <c r="F140" s="34" t="n"/>
      <c r="G140" s="18" t="n"/>
      <c r="H140" s="35">
        <f>IF($F140="","",$F140*$G140/100)</f>
        <v/>
      </c>
      <c r="I140" s="18" t="n"/>
      <c r="J140" s="35">
        <f>IF($F140="","",$H140*$I140/100)</f>
        <v/>
      </c>
      <c r="K140" s="18" t="n"/>
      <c r="L140" s="35">
        <f>IF($F140="","",$F140*$K140/100)</f>
        <v/>
      </c>
      <c r="M140" s="20">
        <f>IF($A140="","",ROUNDUP(MONTH($A140)/3,0))</f>
        <v/>
      </c>
    </row>
    <row r="141">
      <c r="A141" s="33" t="n"/>
      <c r="B141" s="16" t="n"/>
      <c r="C141" s="16" t="n"/>
      <c r="D141" s="16" t="n"/>
      <c r="E141" s="16" t="n"/>
      <c r="F141" s="34" t="n"/>
      <c r="G141" s="18" t="n"/>
      <c r="H141" s="35">
        <f>IF($F141="","",$F141*$G141/100)</f>
        <v/>
      </c>
      <c r="I141" s="18" t="n"/>
      <c r="J141" s="35">
        <f>IF($F141="","",$H141*$I141/100)</f>
        <v/>
      </c>
      <c r="K141" s="18" t="n"/>
      <c r="L141" s="35">
        <f>IF($F141="","",$F141*$K141/100)</f>
        <v/>
      </c>
      <c r="M141" s="20">
        <f>IF($A141="","",ROUNDUP(MONTH($A141)/3,0))</f>
        <v/>
      </c>
    </row>
    <row r="142">
      <c r="A142" s="33" t="n"/>
      <c r="B142" s="16" t="n"/>
      <c r="C142" s="16" t="n"/>
      <c r="D142" s="16" t="n"/>
      <c r="E142" s="16" t="n"/>
      <c r="F142" s="34" t="n"/>
      <c r="G142" s="18" t="n"/>
      <c r="H142" s="35">
        <f>IF($F142="","",$F142*$G142/100)</f>
        <v/>
      </c>
      <c r="I142" s="18" t="n"/>
      <c r="J142" s="35">
        <f>IF($F142="","",$H142*$I142/100)</f>
        <v/>
      </c>
      <c r="K142" s="18" t="n"/>
      <c r="L142" s="35">
        <f>IF($F142="","",$F142*$K142/100)</f>
        <v/>
      </c>
      <c r="M142" s="20">
        <f>IF($A142="","",ROUNDUP(MONTH($A142)/3,0))</f>
        <v/>
      </c>
    </row>
    <row r="143">
      <c r="A143" s="33" t="n"/>
      <c r="B143" s="16" t="n"/>
      <c r="C143" s="16" t="n"/>
      <c r="D143" s="16" t="n"/>
      <c r="E143" s="16" t="n"/>
      <c r="F143" s="34" t="n"/>
      <c r="G143" s="18" t="n"/>
      <c r="H143" s="35">
        <f>IF($F143="","",$F143*$G143/100)</f>
        <v/>
      </c>
      <c r="I143" s="18" t="n"/>
      <c r="J143" s="35">
        <f>IF($F143="","",$H143*$I143/100)</f>
        <v/>
      </c>
      <c r="K143" s="18" t="n"/>
      <c r="L143" s="35">
        <f>IF($F143="","",$F143*$K143/100)</f>
        <v/>
      </c>
      <c r="M143" s="20">
        <f>IF($A143="","",ROUNDUP(MONTH($A143)/3,0))</f>
        <v/>
      </c>
    </row>
    <row r="144">
      <c r="A144" s="33" t="n"/>
      <c r="B144" s="16" t="n"/>
      <c r="C144" s="16" t="n"/>
      <c r="D144" s="16" t="n"/>
      <c r="E144" s="16" t="n"/>
      <c r="F144" s="34" t="n"/>
      <c r="G144" s="18" t="n"/>
      <c r="H144" s="35">
        <f>IF($F144="","",$F144*$G144/100)</f>
        <v/>
      </c>
      <c r="I144" s="18" t="n"/>
      <c r="J144" s="35">
        <f>IF($F144="","",$H144*$I144/100)</f>
        <v/>
      </c>
      <c r="K144" s="18" t="n"/>
      <c r="L144" s="35">
        <f>IF($F144="","",$F144*$K144/100)</f>
        <v/>
      </c>
      <c r="M144" s="20">
        <f>IF($A144="","",ROUNDUP(MONTH($A144)/3,0))</f>
        <v/>
      </c>
    </row>
    <row r="145">
      <c r="A145" s="33" t="n"/>
      <c r="B145" s="16" t="n"/>
      <c r="C145" s="16" t="n"/>
      <c r="D145" s="16" t="n"/>
      <c r="E145" s="16" t="n"/>
      <c r="F145" s="34" t="n"/>
      <c r="G145" s="18" t="n"/>
      <c r="H145" s="35">
        <f>IF($F145="","",$F145*$G145/100)</f>
        <v/>
      </c>
      <c r="I145" s="18" t="n"/>
      <c r="J145" s="35">
        <f>IF($F145="","",$H145*$I145/100)</f>
        <v/>
      </c>
      <c r="K145" s="18" t="n"/>
      <c r="L145" s="35">
        <f>IF($F145="","",$F145*$K145/100)</f>
        <v/>
      </c>
      <c r="M145" s="20">
        <f>IF($A145="","",ROUNDUP(MONTH($A145)/3,0))</f>
        <v/>
      </c>
    </row>
    <row r="146">
      <c r="A146" s="33" t="n"/>
      <c r="B146" s="16" t="n"/>
      <c r="C146" s="16" t="n"/>
      <c r="D146" s="16" t="n"/>
      <c r="E146" s="16" t="n"/>
      <c r="F146" s="34" t="n"/>
      <c r="G146" s="18" t="n"/>
      <c r="H146" s="35">
        <f>IF($F146="","",$F146*$G146/100)</f>
        <v/>
      </c>
      <c r="I146" s="18" t="n"/>
      <c r="J146" s="35">
        <f>IF($F146="","",$H146*$I146/100)</f>
        <v/>
      </c>
      <c r="K146" s="18" t="n"/>
      <c r="L146" s="35">
        <f>IF($F146="","",$F146*$K146/100)</f>
        <v/>
      </c>
      <c r="M146" s="20">
        <f>IF($A146="","",ROUNDUP(MONTH($A146)/3,0))</f>
        <v/>
      </c>
    </row>
    <row r="147">
      <c r="A147" s="33" t="n"/>
      <c r="B147" s="16" t="n"/>
      <c r="C147" s="16" t="n"/>
      <c r="D147" s="16" t="n"/>
      <c r="E147" s="16" t="n"/>
      <c r="F147" s="34" t="n"/>
      <c r="G147" s="18" t="n"/>
      <c r="H147" s="35">
        <f>IF($F147="","",$F147*$G147/100)</f>
        <v/>
      </c>
      <c r="I147" s="18" t="n"/>
      <c r="J147" s="35">
        <f>IF($F147="","",$H147*$I147/100)</f>
        <v/>
      </c>
      <c r="K147" s="18" t="n"/>
      <c r="L147" s="35">
        <f>IF($F147="","",$F147*$K147/100)</f>
        <v/>
      </c>
      <c r="M147" s="20">
        <f>IF($A147="","",ROUNDUP(MONTH($A147)/3,0))</f>
        <v/>
      </c>
    </row>
    <row r="148">
      <c r="A148" s="33" t="n"/>
      <c r="B148" s="16" t="n"/>
      <c r="C148" s="16" t="n"/>
      <c r="D148" s="16" t="n"/>
      <c r="E148" s="16" t="n"/>
      <c r="F148" s="34" t="n"/>
      <c r="G148" s="18" t="n"/>
      <c r="H148" s="35">
        <f>IF($F148="","",$F148*$G148/100)</f>
        <v/>
      </c>
      <c r="I148" s="18" t="n"/>
      <c r="J148" s="35">
        <f>IF($F148="","",$H148*$I148/100)</f>
        <v/>
      </c>
      <c r="K148" s="18" t="n"/>
      <c r="L148" s="35">
        <f>IF($F148="","",$F148*$K148/100)</f>
        <v/>
      </c>
      <c r="M148" s="20">
        <f>IF($A148="","",ROUNDUP(MONTH($A148)/3,0))</f>
        <v/>
      </c>
    </row>
    <row r="149">
      <c r="A149" s="33" t="n"/>
      <c r="B149" s="16" t="n"/>
      <c r="C149" s="16" t="n"/>
      <c r="D149" s="16" t="n"/>
      <c r="E149" s="16" t="n"/>
      <c r="F149" s="34" t="n"/>
      <c r="G149" s="18" t="n"/>
      <c r="H149" s="35">
        <f>IF($F149="","",$F149*$G149/100)</f>
        <v/>
      </c>
      <c r="I149" s="18" t="n"/>
      <c r="J149" s="35">
        <f>IF($F149="","",$H149*$I149/100)</f>
        <v/>
      </c>
      <c r="K149" s="18" t="n"/>
      <c r="L149" s="35">
        <f>IF($F149="","",$F149*$K149/100)</f>
        <v/>
      </c>
      <c r="M149" s="20">
        <f>IF($A149="","",ROUNDUP(MONTH($A149)/3,0))</f>
        <v/>
      </c>
    </row>
    <row r="150">
      <c r="A150" s="33" t="n"/>
      <c r="B150" s="16" t="n"/>
      <c r="C150" s="16" t="n"/>
      <c r="D150" s="16" t="n"/>
      <c r="E150" s="16" t="n"/>
      <c r="F150" s="34" t="n"/>
      <c r="G150" s="18" t="n"/>
      <c r="H150" s="35">
        <f>IF($F150="","",$F150*$G150/100)</f>
        <v/>
      </c>
      <c r="I150" s="18" t="n"/>
      <c r="J150" s="35">
        <f>IF($F150="","",$H150*$I150/100)</f>
        <v/>
      </c>
      <c r="K150" s="18" t="n"/>
      <c r="L150" s="35">
        <f>IF($F150="","",$F150*$K150/100)</f>
        <v/>
      </c>
      <c r="M150" s="20">
        <f>IF($A150="","",ROUNDUP(MONTH($A150)/3,0))</f>
        <v/>
      </c>
    </row>
    <row r="151">
      <c r="A151" s="33" t="n"/>
      <c r="B151" s="16" t="n"/>
      <c r="C151" s="16" t="n"/>
      <c r="D151" s="16" t="n"/>
      <c r="E151" s="16" t="n"/>
      <c r="F151" s="34" t="n"/>
      <c r="G151" s="18" t="n"/>
      <c r="H151" s="35">
        <f>IF($F151="","",$F151*$G151/100)</f>
        <v/>
      </c>
      <c r="I151" s="18" t="n"/>
      <c r="J151" s="35">
        <f>IF($F151="","",$H151*$I151/100)</f>
        <v/>
      </c>
      <c r="K151" s="18" t="n"/>
      <c r="L151" s="35">
        <f>IF($F151="","",$F151*$K151/100)</f>
        <v/>
      </c>
      <c r="M151" s="20">
        <f>IF($A151="","",ROUNDUP(MONTH($A151)/3,0))</f>
        <v/>
      </c>
    </row>
    <row r="152">
      <c r="A152" s="33" t="n"/>
      <c r="B152" s="16" t="n"/>
      <c r="C152" s="16" t="n"/>
      <c r="D152" s="16" t="n"/>
      <c r="E152" s="16" t="n"/>
      <c r="F152" s="34" t="n"/>
      <c r="G152" s="18" t="n"/>
      <c r="H152" s="35">
        <f>IF($F152="","",$F152*$G152/100)</f>
        <v/>
      </c>
      <c r="I152" s="18" t="n"/>
      <c r="J152" s="35">
        <f>IF($F152="","",$H152*$I152/100)</f>
        <v/>
      </c>
      <c r="K152" s="18" t="n"/>
      <c r="L152" s="35">
        <f>IF($F152="","",$F152*$K152/100)</f>
        <v/>
      </c>
      <c r="M152" s="20">
        <f>IF($A152="","",ROUNDUP(MONTH($A152)/3,0))</f>
        <v/>
      </c>
    </row>
    <row r="153">
      <c r="A153" s="33" t="n"/>
      <c r="B153" s="16" t="n"/>
      <c r="C153" s="16" t="n"/>
      <c r="D153" s="16" t="n"/>
      <c r="E153" s="16" t="n"/>
      <c r="F153" s="34" t="n"/>
      <c r="G153" s="18" t="n"/>
      <c r="H153" s="35">
        <f>IF($F153="","",$F153*$G153/100)</f>
        <v/>
      </c>
      <c r="I153" s="18" t="n"/>
      <c r="J153" s="35">
        <f>IF($F153="","",$H153*$I153/100)</f>
        <v/>
      </c>
      <c r="K153" s="18" t="n"/>
      <c r="L153" s="35">
        <f>IF($F153="","",$F153*$K153/100)</f>
        <v/>
      </c>
      <c r="M153" s="20">
        <f>IF($A153="","",ROUNDUP(MONTH($A153)/3,0))</f>
        <v/>
      </c>
    </row>
    <row r="154">
      <c r="A154" s="33" t="n"/>
      <c r="B154" s="16" t="n"/>
      <c r="C154" s="16" t="n"/>
      <c r="D154" s="16" t="n"/>
      <c r="E154" s="16" t="n"/>
      <c r="F154" s="34" t="n"/>
      <c r="G154" s="18" t="n"/>
      <c r="H154" s="35">
        <f>IF($F154="","",$F154*$G154/100)</f>
        <v/>
      </c>
      <c r="I154" s="18" t="n"/>
      <c r="J154" s="35">
        <f>IF($F154="","",$H154*$I154/100)</f>
        <v/>
      </c>
      <c r="K154" s="18" t="n"/>
      <c r="L154" s="35">
        <f>IF($F154="","",$F154*$K154/100)</f>
        <v/>
      </c>
      <c r="M154" s="20">
        <f>IF($A154="","",ROUNDUP(MONTH($A154)/3,0))</f>
        <v/>
      </c>
    </row>
    <row r="155">
      <c r="A155" s="33" t="n"/>
      <c r="B155" s="16" t="n"/>
      <c r="C155" s="16" t="n"/>
      <c r="D155" s="16" t="n"/>
      <c r="E155" s="16" t="n"/>
      <c r="F155" s="34" t="n"/>
      <c r="G155" s="18" t="n"/>
      <c r="H155" s="35">
        <f>IF($F155="","",$F155*$G155/100)</f>
        <v/>
      </c>
      <c r="I155" s="18" t="n"/>
      <c r="J155" s="35">
        <f>IF($F155="","",$H155*$I155/100)</f>
        <v/>
      </c>
      <c r="K155" s="18" t="n"/>
      <c r="L155" s="35">
        <f>IF($F155="","",$F155*$K155/100)</f>
        <v/>
      </c>
      <c r="M155" s="20">
        <f>IF($A155="","",ROUNDUP(MONTH($A155)/3,0))</f>
        <v/>
      </c>
    </row>
    <row r="156">
      <c r="A156" s="33" t="n"/>
      <c r="B156" s="16" t="n"/>
      <c r="C156" s="16" t="n"/>
      <c r="D156" s="16" t="n"/>
      <c r="E156" s="16" t="n"/>
      <c r="F156" s="34" t="n"/>
      <c r="G156" s="18" t="n"/>
      <c r="H156" s="35">
        <f>IF($F156="","",$F156*$G156/100)</f>
        <v/>
      </c>
      <c r="I156" s="18" t="n"/>
      <c r="J156" s="35">
        <f>IF($F156="","",$H156*$I156/100)</f>
        <v/>
      </c>
      <c r="K156" s="18" t="n"/>
      <c r="L156" s="35">
        <f>IF($F156="","",$F156*$K156/100)</f>
        <v/>
      </c>
      <c r="M156" s="20">
        <f>IF($A156="","",ROUNDUP(MONTH($A156)/3,0))</f>
        <v/>
      </c>
    </row>
    <row r="157">
      <c r="A157" s="33" t="n"/>
      <c r="B157" s="16" t="n"/>
      <c r="C157" s="16" t="n"/>
      <c r="D157" s="16" t="n"/>
      <c r="E157" s="16" t="n"/>
      <c r="F157" s="34" t="n"/>
      <c r="G157" s="18" t="n"/>
      <c r="H157" s="35">
        <f>IF($F157="","",$F157*$G157/100)</f>
        <v/>
      </c>
      <c r="I157" s="18" t="n"/>
      <c r="J157" s="35">
        <f>IF($F157="","",$H157*$I157/100)</f>
        <v/>
      </c>
      <c r="K157" s="18" t="n"/>
      <c r="L157" s="35">
        <f>IF($F157="","",$F157*$K157/100)</f>
        <v/>
      </c>
      <c r="M157" s="20">
        <f>IF($A157="","",ROUNDUP(MONTH($A157)/3,0))</f>
        <v/>
      </c>
    </row>
    <row r="158">
      <c r="A158" s="33" t="n"/>
      <c r="B158" s="16" t="n"/>
      <c r="C158" s="16" t="n"/>
      <c r="D158" s="16" t="n"/>
      <c r="E158" s="16" t="n"/>
      <c r="F158" s="34" t="n"/>
      <c r="G158" s="18" t="n"/>
      <c r="H158" s="35">
        <f>IF($F158="","",$F158*$G158/100)</f>
        <v/>
      </c>
      <c r="I158" s="18" t="n"/>
      <c r="J158" s="35">
        <f>IF($F158="","",$H158*$I158/100)</f>
        <v/>
      </c>
      <c r="K158" s="18" t="n"/>
      <c r="L158" s="35">
        <f>IF($F158="","",$F158*$K158/100)</f>
        <v/>
      </c>
      <c r="M158" s="20">
        <f>IF($A158="","",ROUNDUP(MONTH($A158)/3,0))</f>
        <v/>
      </c>
    </row>
    <row r="159">
      <c r="A159" s="33" t="n"/>
      <c r="B159" s="16" t="n"/>
      <c r="C159" s="16" t="n"/>
      <c r="D159" s="16" t="n"/>
      <c r="E159" s="16" t="n"/>
      <c r="F159" s="34" t="n"/>
      <c r="G159" s="18" t="n"/>
      <c r="H159" s="35">
        <f>IF($F159="","",$F159*$G159/100)</f>
        <v/>
      </c>
      <c r="I159" s="18" t="n"/>
      <c r="J159" s="35">
        <f>IF($F159="","",$H159*$I159/100)</f>
        <v/>
      </c>
      <c r="K159" s="18" t="n"/>
      <c r="L159" s="35">
        <f>IF($F159="","",$F159*$K159/100)</f>
        <v/>
      </c>
      <c r="M159" s="20">
        <f>IF($A159="","",ROUNDUP(MONTH($A159)/3,0))</f>
        <v/>
      </c>
    </row>
    <row r="160">
      <c r="A160" s="33" t="n"/>
      <c r="B160" s="16" t="n"/>
      <c r="C160" s="16" t="n"/>
      <c r="D160" s="16" t="n"/>
      <c r="E160" s="16" t="n"/>
      <c r="F160" s="34" t="n"/>
      <c r="G160" s="18" t="n"/>
      <c r="H160" s="35">
        <f>IF($F160="","",$F160*$G160/100)</f>
        <v/>
      </c>
      <c r="I160" s="18" t="n"/>
      <c r="J160" s="35">
        <f>IF($F160="","",$H160*$I160/100)</f>
        <v/>
      </c>
      <c r="K160" s="18" t="n"/>
      <c r="L160" s="35">
        <f>IF($F160="","",$F160*$K160/100)</f>
        <v/>
      </c>
      <c r="M160" s="20">
        <f>IF($A160="","",ROUNDUP(MONTH($A160)/3,0))</f>
        <v/>
      </c>
    </row>
    <row r="161">
      <c r="A161" s="33" t="n"/>
      <c r="B161" s="16" t="n"/>
      <c r="C161" s="16" t="n"/>
      <c r="D161" s="16" t="n"/>
      <c r="E161" s="16" t="n"/>
      <c r="F161" s="34" t="n"/>
      <c r="G161" s="18" t="n"/>
      <c r="H161" s="35">
        <f>IF($F161="","",$F161*$G161/100)</f>
        <v/>
      </c>
      <c r="I161" s="18" t="n"/>
      <c r="J161" s="35">
        <f>IF($F161="","",$H161*$I161/100)</f>
        <v/>
      </c>
      <c r="K161" s="18" t="n"/>
      <c r="L161" s="35">
        <f>IF($F161="","",$F161*$K161/100)</f>
        <v/>
      </c>
      <c r="M161" s="20">
        <f>IF($A161="","",ROUNDUP(MONTH($A161)/3,0))</f>
        <v/>
      </c>
    </row>
    <row r="162">
      <c r="A162" s="33" t="n"/>
      <c r="B162" s="16" t="n"/>
      <c r="C162" s="16" t="n"/>
      <c r="D162" s="16" t="n"/>
      <c r="E162" s="16" t="n"/>
      <c r="F162" s="34" t="n"/>
      <c r="G162" s="18" t="n"/>
      <c r="H162" s="35">
        <f>IF($F162="","",$F162*$G162/100)</f>
        <v/>
      </c>
      <c r="I162" s="18" t="n"/>
      <c r="J162" s="35">
        <f>IF($F162="","",$H162*$I162/100)</f>
        <v/>
      </c>
      <c r="K162" s="18" t="n"/>
      <c r="L162" s="35">
        <f>IF($F162="","",$F162*$K162/100)</f>
        <v/>
      </c>
      <c r="M162" s="20">
        <f>IF($A162="","",ROUNDUP(MONTH($A162)/3,0))</f>
        <v/>
      </c>
    </row>
    <row r="163">
      <c r="A163" s="33" t="n"/>
      <c r="B163" s="16" t="n"/>
      <c r="C163" s="16" t="n"/>
      <c r="D163" s="16" t="n"/>
      <c r="E163" s="16" t="n"/>
      <c r="F163" s="34" t="n"/>
      <c r="G163" s="18" t="n"/>
      <c r="H163" s="35">
        <f>IF($F163="","",$F163*$G163/100)</f>
        <v/>
      </c>
      <c r="I163" s="18" t="n"/>
      <c r="J163" s="35">
        <f>IF($F163="","",$H163*$I163/100)</f>
        <v/>
      </c>
      <c r="K163" s="18" t="n"/>
      <c r="L163" s="35">
        <f>IF($F163="","",$F163*$K163/100)</f>
        <v/>
      </c>
      <c r="M163" s="20">
        <f>IF($A163="","",ROUNDUP(MONTH($A163)/3,0))</f>
        <v/>
      </c>
    </row>
    <row r="164">
      <c r="A164" s="33" t="n"/>
      <c r="B164" s="16" t="n"/>
      <c r="C164" s="16" t="n"/>
      <c r="D164" s="16" t="n"/>
      <c r="E164" s="16" t="n"/>
      <c r="F164" s="34" t="n"/>
      <c r="G164" s="18" t="n"/>
      <c r="H164" s="35">
        <f>IF($F164="","",$F164*$G164/100)</f>
        <v/>
      </c>
      <c r="I164" s="18" t="n"/>
      <c r="J164" s="35">
        <f>IF($F164="","",$H164*$I164/100)</f>
        <v/>
      </c>
      <c r="K164" s="18" t="n"/>
      <c r="L164" s="35">
        <f>IF($F164="","",$F164*$K164/100)</f>
        <v/>
      </c>
      <c r="M164" s="20">
        <f>IF($A164="","",ROUNDUP(MONTH($A164)/3,0))</f>
        <v/>
      </c>
    </row>
    <row r="165">
      <c r="A165" s="33" t="n"/>
      <c r="B165" s="16" t="n"/>
      <c r="C165" s="16" t="n"/>
      <c r="D165" s="16" t="n"/>
      <c r="E165" s="16" t="n"/>
      <c r="F165" s="34" t="n"/>
      <c r="G165" s="18" t="n"/>
      <c r="H165" s="35">
        <f>IF($F165="","",$F165*$G165/100)</f>
        <v/>
      </c>
      <c r="I165" s="18" t="n"/>
      <c r="J165" s="35">
        <f>IF($F165="","",$H165*$I165/100)</f>
        <v/>
      </c>
      <c r="K165" s="18" t="n"/>
      <c r="L165" s="35">
        <f>IF($F165="","",$F165*$K165/100)</f>
        <v/>
      </c>
      <c r="M165" s="20">
        <f>IF($A165="","",ROUNDUP(MONTH($A165)/3,0))</f>
        <v/>
      </c>
    </row>
    <row r="166">
      <c r="A166" s="33" t="n"/>
      <c r="B166" s="16" t="n"/>
      <c r="C166" s="16" t="n"/>
      <c r="D166" s="16" t="n"/>
      <c r="E166" s="16" t="n"/>
      <c r="F166" s="34" t="n"/>
      <c r="G166" s="18" t="n"/>
      <c r="H166" s="35">
        <f>IF($F166="","",$F166*$G166/100)</f>
        <v/>
      </c>
      <c r="I166" s="18" t="n"/>
      <c r="J166" s="35">
        <f>IF($F166="","",$H166*$I166/100)</f>
        <v/>
      </c>
      <c r="K166" s="18" t="n"/>
      <c r="L166" s="35">
        <f>IF($F166="","",$F166*$K166/100)</f>
        <v/>
      </c>
      <c r="M166" s="20">
        <f>IF($A166="","",ROUNDUP(MONTH($A166)/3,0))</f>
        <v/>
      </c>
    </row>
    <row r="167">
      <c r="A167" s="33" t="n"/>
      <c r="B167" s="16" t="n"/>
      <c r="C167" s="16" t="n"/>
      <c r="D167" s="16" t="n"/>
      <c r="E167" s="16" t="n"/>
      <c r="F167" s="34" t="n"/>
      <c r="G167" s="18" t="n"/>
      <c r="H167" s="35">
        <f>IF($F167="","",$F167*$G167/100)</f>
        <v/>
      </c>
      <c r="I167" s="18" t="n"/>
      <c r="J167" s="35">
        <f>IF($F167="","",$H167*$I167/100)</f>
        <v/>
      </c>
      <c r="K167" s="18" t="n"/>
      <c r="L167" s="35">
        <f>IF($F167="","",$F167*$K167/100)</f>
        <v/>
      </c>
      <c r="M167" s="20">
        <f>IF($A167="","",ROUNDUP(MONTH($A167)/3,0))</f>
        <v/>
      </c>
    </row>
    <row r="168">
      <c r="A168" s="33" t="n"/>
      <c r="B168" s="16" t="n"/>
      <c r="C168" s="16" t="n"/>
      <c r="D168" s="16" t="n"/>
      <c r="E168" s="16" t="n"/>
      <c r="F168" s="34" t="n"/>
      <c r="G168" s="18" t="n"/>
      <c r="H168" s="35">
        <f>IF($F168="","",$F168*$G168/100)</f>
        <v/>
      </c>
      <c r="I168" s="18" t="n"/>
      <c r="J168" s="35">
        <f>IF($F168="","",$H168*$I168/100)</f>
        <v/>
      </c>
      <c r="K168" s="18" t="n"/>
      <c r="L168" s="35">
        <f>IF($F168="","",$F168*$K168/100)</f>
        <v/>
      </c>
      <c r="M168" s="20">
        <f>IF($A168="","",ROUNDUP(MONTH($A168)/3,0))</f>
        <v/>
      </c>
    </row>
    <row r="169">
      <c r="A169" s="33" t="n"/>
      <c r="B169" s="16" t="n"/>
      <c r="C169" s="16" t="n"/>
      <c r="D169" s="16" t="n"/>
      <c r="E169" s="16" t="n"/>
      <c r="F169" s="34" t="n"/>
      <c r="G169" s="18" t="n"/>
      <c r="H169" s="35">
        <f>IF($F169="","",$F169*$G169/100)</f>
        <v/>
      </c>
      <c r="I169" s="18" t="n"/>
      <c r="J169" s="35">
        <f>IF($F169="","",$H169*$I169/100)</f>
        <v/>
      </c>
      <c r="K169" s="18" t="n"/>
      <c r="L169" s="35">
        <f>IF($F169="","",$F169*$K169/100)</f>
        <v/>
      </c>
      <c r="M169" s="20">
        <f>IF($A169="","",ROUNDUP(MONTH($A169)/3,0))</f>
        <v/>
      </c>
    </row>
    <row r="170">
      <c r="A170" s="33" t="n"/>
      <c r="B170" s="16" t="n"/>
      <c r="C170" s="16" t="n"/>
      <c r="D170" s="16" t="n"/>
      <c r="E170" s="16" t="n"/>
      <c r="F170" s="34" t="n"/>
      <c r="G170" s="18" t="n"/>
      <c r="H170" s="35">
        <f>IF($F170="","",$F170*$G170/100)</f>
        <v/>
      </c>
      <c r="I170" s="18" t="n"/>
      <c r="J170" s="35">
        <f>IF($F170="","",$H170*$I170/100)</f>
        <v/>
      </c>
      <c r="K170" s="18" t="n"/>
      <c r="L170" s="35">
        <f>IF($F170="","",$F170*$K170/100)</f>
        <v/>
      </c>
      <c r="M170" s="20">
        <f>IF($A170="","",ROUNDUP(MONTH($A170)/3,0))</f>
        <v/>
      </c>
    </row>
    <row r="171">
      <c r="A171" s="33" t="n"/>
      <c r="B171" s="16" t="n"/>
      <c r="C171" s="16" t="n"/>
      <c r="D171" s="16" t="n"/>
      <c r="E171" s="16" t="n"/>
      <c r="F171" s="34" t="n"/>
      <c r="G171" s="18" t="n"/>
      <c r="H171" s="35">
        <f>IF($F171="","",$F171*$G171/100)</f>
        <v/>
      </c>
      <c r="I171" s="18" t="n"/>
      <c r="J171" s="35">
        <f>IF($F171="","",$H171*$I171/100)</f>
        <v/>
      </c>
      <c r="K171" s="18" t="n"/>
      <c r="L171" s="35">
        <f>IF($F171="","",$F171*$K171/100)</f>
        <v/>
      </c>
      <c r="M171" s="20">
        <f>IF($A171="","",ROUNDUP(MONTH($A171)/3,0))</f>
        <v/>
      </c>
    </row>
    <row r="172">
      <c r="A172" s="33" t="n"/>
      <c r="B172" s="16" t="n"/>
      <c r="C172" s="16" t="n"/>
      <c r="D172" s="16" t="n"/>
      <c r="E172" s="16" t="n"/>
      <c r="F172" s="34" t="n"/>
      <c r="G172" s="18" t="n"/>
      <c r="H172" s="35">
        <f>IF($F172="","",$F172*$G172/100)</f>
        <v/>
      </c>
      <c r="I172" s="18" t="n"/>
      <c r="J172" s="35">
        <f>IF($F172="","",$H172*$I172/100)</f>
        <v/>
      </c>
      <c r="K172" s="18" t="n"/>
      <c r="L172" s="35">
        <f>IF($F172="","",$F172*$K172/100)</f>
        <v/>
      </c>
      <c r="M172" s="20">
        <f>IF($A172="","",ROUNDUP(MONTH($A172)/3,0))</f>
        <v/>
      </c>
    </row>
    <row r="173">
      <c r="A173" s="33" t="n"/>
      <c r="B173" s="16" t="n"/>
      <c r="C173" s="16" t="n"/>
      <c r="D173" s="16" t="n"/>
      <c r="E173" s="16" t="n"/>
      <c r="F173" s="34" t="n"/>
      <c r="G173" s="18" t="n"/>
      <c r="H173" s="35">
        <f>IF($F173="","",$F173*$G173/100)</f>
        <v/>
      </c>
      <c r="I173" s="18" t="n"/>
      <c r="J173" s="35">
        <f>IF($F173="","",$H173*$I173/100)</f>
        <v/>
      </c>
      <c r="K173" s="18" t="n"/>
      <c r="L173" s="35">
        <f>IF($F173="","",$F173*$K173/100)</f>
        <v/>
      </c>
      <c r="M173" s="20">
        <f>IF($A173="","",ROUNDUP(MONTH($A173)/3,0))</f>
        <v/>
      </c>
    </row>
    <row r="174">
      <c r="A174" s="33" t="n"/>
      <c r="B174" s="16" t="n"/>
      <c r="C174" s="16" t="n"/>
      <c r="D174" s="16" t="n"/>
      <c r="E174" s="16" t="n"/>
      <c r="F174" s="34" t="n"/>
      <c r="G174" s="18" t="n"/>
      <c r="H174" s="35">
        <f>IF($F174="","",$F174*$G174/100)</f>
        <v/>
      </c>
      <c r="I174" s="18" t="n"/>
      <c r="J174" s="35">
        <f>IF($F174="","",$H174*$I174/100)</f>
        <v/>
      </c>
      <c r="K174" s="18" t="n"/>
      <c r="L174" s="35">
        <f>IF($F174="","",$F174*$K174/100)</f>
        <v/>
      </c>
      <c r="M174" s="20">
        <f>IF($A174="","",ROUNDUP(MONTH($A174)/3,0))</f>
        <v/>
      </c>
    </row>
    <row r="175">
      <c r="A175" s="33" t="n"/>
      <c r="B175" s="16" t="n"/>
      <c r="C175" s="16" t="n"/>
      <c r="D175" s="16" t="n"/>
      <c r="E175" s="16" t="n"/>
      <c r="F175" s="34" t="n"/>
      <c r="G175" s="18" t="n"/>
      <c r="H175" s="35">
        <f>IF($F175="","",$F175*$G175/100)</f>
        <v/>
      </c>
      <c r="I175" s="18" t="n"/>
      <c r="J175" s="35">
        <f>IF($F175="","",$H175*$I175/100)</f>
        <v/>
      </c>
      <c r="K175" s="18" t="n"/>
      <c r="L175" s="35">
        <f>IF($F175="","",$F175*$K175/100)</f>
        <v/>
      </c>
      <c r="M175" s="20">
        <f>IF($A175="","",ROUNDUP(MONTH($A175)/3,0))</f>
        <v/>
      </c>
    </row>
    <row r="176">
      <c r="A176" s="33" t="n"/>
      <c r="B176" s="16" t="n"/>
      <c r="C176" s="16" t="n"/>
      <c r="D176" s="16" t="n"/>
      <c r="E176" s="16" t="n"/>
      <c r="F176" s="34" t="n"/>
      <c r="G176" s="18" t="n"/>
      <c r="H176" s="35">
        <f>IF($F176="","",$F176*$G176/100)</f>
        <v/>
      </c>
      <c r="I176" s="18" t="n"/>
      <c r="J176" s="35">
        <f>IF($F176="","",$H176*$I176/100)</f>
        <v/>
      </c>
      <c r="K176" s="18" t="n"/>
      <c r="L176" s="35">
        <f>IF($F176="","",$F176*$K176/100)</f>
        <v/>
      </c>
      <c r="M176" s="20">
        <f>IF($A176="","",ROUNDUP(MONTH($A176)/3,0))</f>
        <v/>
      </c>
    </row>
    <row r="177">
      <c r="A177" s="33" t="n"/>
      <c r="B177" s="16" t="n"/>
      <c r="C177" s="16" t="n"/>
      <c r="D177" s="16" t="n"/>
      <c r="E177" s="16" t="n"/>
      <c r="F177" s="34" t="n"/>
      <c r="G177" s="18" t="n"/>
      <c r="H177" s="35">
        <f>IF($F177="","",$F177*$G177/100)</f>
        <v/>
      </c>
      <c r="I177" s="18" t="n"/>
      <c r="J177" s="35">
        <f>IF($F177="","",$H177*$I177/100)</f>
        <v/>
      </c>
      <c r="K177" s="18" t="n"/>
      <c r="L177" s="35">
        <f>IF($F177="","",$F177*$K177/100)</f>
        <v/>
      </c>
      <c r="M177" s="20">
        <f>IF($A177="","",ROUNDUP(MONTH($A177)/3,0))</f>
        <v/>
      </c>
    </row>
    <row r="178">
      <c r="A178" s="33" t="n"/>
      <c r="B178" s="16" t="n"/>
      <c r="C178" s="16" t="n"/>
      <c r="D178" s="16" t="n"/>
      <c r="E178" s="16" t="n"/>
      <c r="F178" s="34" t="n"/>
      <c r="G178" s="18" t="n"/>
      <c r="H178" s="35">
        <f>IF($F178="","",$F178*$G178/100)</f>
        <v/>
      </c>
      <c r="I178" s="18" t="n"/>
      <c r="J178" s="35">
        <f>IF($F178="","",$H178*$I178/100)</f>
        <v/>
      </c>
      <c r="K178" s="18" t="n"/>
      <c r="L178" s="35">
        <f>IF($F178="","",$F178*$K178/100)</f>
        <v/>
      </c>
      <c r="M178" s="20">
        <f>IF($A178="","",ROUNDUP(MONTH($A178)/3,0))</f>
        <v/>
      </c>
    </row>
    <row r="179">
      <c r="A179" s="33" t="n"/>
      <c r="B179" s="16" t="n"/>
      <c r="C179" s="16" t="n"/>
      <c r="D179" s="16" t="n"/>
      <c r="E179" s="16" t="n"/>
      <c r="F179" s="34" t="n"/>
      <c r="G179" s="18" t="n"/>
      <c r="H179" s="35">
        <f>IF($F179="","",$F179*$G179/100)</f>
        <v/>
      </c>
      <c r="I179" s="18" t="n"/>
      <c r="J179" s="35">
        <f>IF($F179="","",$H179*$I179/100)</f>
        <v/>
      </c>
      <c r="K179" s="18" t="n"/>
      <c r="L179" s="35">
        <f>IF($F179="","",$F179*$K179/100)</f>
        <v/>
      </c>
      <c r="M179" s="20">
        <f>IF($A179="","",ROUNDUP(MONTH($A179)/3,0))</f>
        <v/>
      </c>
    </row>
    <row r="180">
      <c r="A180" s="33" t="n"/>
      <c r="B180" s="16" t="n"/>
      <c r="C180" s="16" t="n"/>
      <c r="D180" s="16" t="n"/>
      <c r="E180" s="16" t="n"/>
      <c r="F180" s="34" t="n"/>
      <c r="G180" s="18" t="n"/>
      <c r="H180" s="35">
        <f>IF($F180="","",$F180*$G180/100)</f>
        <v/>
      </c>
      <c r="I180" s="18" t="n"/>
      <c r="J180" s="35">
        <f>IF($F180="","",$H180*$I180/100)</f>
        <v/>
      </c>
      <c r="K180" s="18" t="n"/>
      <c r="L180" s="35">
        <f>IF($F180="","",$F180*$K180/100)</f>
        <v/>
      </c>
      <c r="M180" s="20">
        <f>IF($A180="","",ROUNDUP(MONTH($A180)/3,0))</f>
        <v/>
      </c>
    </row>
    <row r="181">
      <c r="A181" s="33" t="n"/>
      <c r="B181" s="16" t="n"/>
      <c r="C181" s="16" t="n"/>
      <c r="D181" s="16" t="n"/>
      <c r="E181" s="16" t="n"/>
      <c r="F181" s="34" t="n"/>
      <c r="G181" s="18" t="n"/>
      <c r="H181" s="35">
        <f>IF($F181="","",$F181*$G181/100)</f>
        <v/>
      </c>
      <c r="I181" s="18" t="n"/>
      <c r="J181" s="35">
        <f>IF($F181="","",$H181*$I181/100)</f>
        <v/>
      </c>
      <c r="K181" s="18" t="n"/>
      <c r="L181" s="35">
        <f>IF($F181="","",$F181*$K181/100)</f>
        <v/>
      </c>
      <c r="M181" s="20">
        <f>IF($A181="","",ROUNDUP(MONTH($A181)/3,0))</f>
        <v/>
      </c>
    </row>
    <row r="182">
      <c r="A182" s="33" t="n"/>
      <c r="B182" s="16" t="n"/>
      <c r="C182" s="16" t="n"/>
      <c r="D182" s="16" t="n"/>
      <c r="E182" s="16" t="n"/>
      <c r="F182" s="34" t="n"/>
      <c r="G182" s="18" t="n"/>
      <c r="H182" s="35">
        <f>IF($F182="","",$F182*$G182/100)</f>
        <v/>
      </c>
      <c r="I182" s="18" t="n"/>
      <c r="J182" s="35">
        <f>IF($F182="","",$H182*$I182/100)</f>
        <v/>
      </c>
      <c r="K182" s="18" t="n"/>
      <c r="L182" s="35">
        <f>IF($F182="","",$F182*$K182/100)</f>
        <v/>
      </c>
      <c r="M182" s="20">
        <f>IF($A182="","",ROUNDUP(MONTH($A182)/3,0))</f>
        <v/>
      </c>
    </row>
    <row r="183">
      <c r="A183" s="33" t="n"/>
      <c r="B183" s="16" t="n"/>
      <c r="C183" s="16" t="n"/>
      <c r="D183" s="16" t="n"/>
      <c r="E183" s="16" t="n"/>
      <c r="F183" s="34" t="n"/>
      <c r="G183" s="18" t="n"/>
      <c r="H183" s="35">
        <f>IF($F183="","",$F183*$G183/100)</f>
        <v/>
      </c>
      <c r="I183" s="18" t="n"/>
      <c r="J183" s="35">
        <f>IF($F183="","",$H183*$I183/100)</f>
        <v/>
      </c>
      <c r="K183" s="18" t="n"/>
      <c r="L183" s="35">
        <f>IF($F183="","",$F183*$K183/100)</f>
        <v/>
      </c>
      <c r="M183" s="20">
        <f>IF($A183="","",ROUNDUP(MONTH($A183)/3,0))</f>
        <v/>
      </c>
    </row>
    <row r="184">
      <c r="A184" s="33" t="n"/>
      <c r="B184" s="16" t="n"/>
      <c r="C184" s="16" t="n"/>
      <c r="D184" s="16" t="n"/>
      <c r="E184" s="16" t="n"/>
      <c r="F184" s="34" t="n"/>
      <c r="G184" s="18" t="n"/>
      <c r="H184" s="35">
        <f>IF($F184="","",$F184*$G184/100)</f>
        <v/>
      </c>
      <c r="I184" s="18" t="n"/>
      <c r="J184" s="35">
        <f>IF($F184="","",$H184*$I184/100)</f>
        <v/>
      </c>
      <c r="K184" s="18" t="n"/>
      <c r="L184" s="35">
        <f>IF($F184="","",$F184*$K184/100)</f>
        <v/>
      </c>
      <c r="M184" s="20">
        <f>IF($A184="","",ROUNDUP(MONTH($A184)/3,0))</f>
        <v/>
      </c>
    </row>
    <row r="185">
      <c r="A185" s="33" t="n"/>
      <c r="B185" s="16" t="n"/>
      <c r="C185" s="16" t="n"/>
      <c r="D185" s="16" t="n"/>
      <c r="E185" s="16" t="n"/>
      <c r="F185" s="34" t="n"/>
      <c r="G185" s="18" t="n"/>
      <c r="H185" s="35">
        <f>IF($F185="","",$F185*$G185/100)</f>
        <v/>
      </c>
      <c r="I185" s="18" t="n"/>
      <c r="J185" s="35">
        <f>IF($F185="","",$H185*$I185/100)</f>
        <v/>
      </c>
      <c r="K185" s="18" t="n"/>
      <c r="L185" s="35">
        <f>IF($F185="","",$F185*$K185/100)</f>
        <v/>
      </c>
      <c r="M185" s="20">
        <f>IF($A185="","",ROUNDUP(MONTH($A185)/3,0))</f>
        <v/>
      </c>
    </row>
    <row r="186">
      <c r="A186" s="33" t="n"/>
      <c r="B186" s="16" t="n"/>
      <c r="C186" s="16" t="n"/>
      <c r="D186" s="16" t="n"/>
      <c r="E186" s="16" t="n"/>
      <c r="F186" s="34" t="n"/>
      <c r="G186" s="18" t="n"/>
      <c r="H186" s="35">
        <f>IF($F186="","",$F186*$G186/100)</f>
        <v/>
      </c>
      <c r="I186" s="18" t="n"/>
      <c r="J186" s="35">
        <f>IF($F186="","",$H186*$I186/100)</f>
        <v/>
      </c>
      <c r="K186" s="18" t="n"/>
      <c r="L186" s="35">
        <f>IF($F186="","",$F186*$K186/100)</f>
        <v/>
      </c>
      <c r="M186" s="20">
        <f>IF($A186="","",ROUNDUP(MONTH($A186)/3,0))</f>
        <v/>
      </c>
    </row>
    <row r="187">
      <c r="A187" s="33" t="n"/>
      <c r="B187" s="16" t="n"/>
      <c r="C187" s="16" t="n"/>
      <c r="D187" s="16" t="n"/>
      <c r="E187" s="16" t="n"/>
      <c r="F187" s="34" t="n"/>
      <c r="G187" s="18" t="n"/>
      <c r="H187" s="35">
        <f>IF($F187="","",$F187*$G187/100)</f>
        <v/>
      </c>
      <c r="I187" s="18" t="n"/>
      <c r="J187" s="35">
        <f>IF($F187="","",$H187*$I187/100)</f>
        <v/>
      </c>
      <c r="K187" s="18" t="n"/>
      <c r="L187" s="35">
        <f>IF($F187="","",$F187*$K187/100)</f>
        <v/>
      </c>
      <c r="M187" s="20">
        <f>IF($A187="","",ROUNDUP(MONTH($A187)/3,0))</f>
        <v/>
      </c>
    </row>
    <row r="188">
      <c r="A188" s="33" t="n"/>
      <c r="B188" s="16" t="n"/>
      <c r="C188" s="16" t="n"/>
      <c r="D188" s="16" t="n"/>
      <c r="E188" s="16" t="n"/>
      <c r="F188" s="34" t="n"/>
      <c r="G188" s="18" t="n"/>
      <c r="H188" s="35">
        <f>IF($F188="","",$F188*$G188/100)</f>
        <v/>
      </c>
      <c r="I188" s="18" t="n"/>
      <c r="J188" s="35">
        <f>IF($F188="","",$H188*$I188/100)</f>
        <v/>
      </c>
      <c r="K188" s="18" t="n"/>
      <c r="L188" s="35">
        <f>IF($F188="","",$F188*$K188/100)</f>
        <v/>
      </c>
      <c r="M188" s="20">
        <f>IF($A188="","",ROUNDUP(MONTH($A188)/3,0))</f>
        <v/>
      </c>
    </row>
    <row r="189">
      <c r="A189" s="33" t="n"/>
      <c r="B189" s="16" t="n"/>
      <c r="C189" s="16" t="n"/>
      <c r="D189" s="16" t="n"/>
      <c r="E189" s="16" t="n"/>
      <c r="F189" s="34" t="n"/>
      <c r="G189" s="18" t="n"/>
      <c r="H189" s="35">
        <f>IF($F189="","",$F189*$G189/100)</f>
        <v/>
      </c>
      <c r="I189" s="18" t="n"/>
      <c r="J189" s="35">
        <f>IF($F189="","",$H189*$I189/100)</f>
        <v/>
      </c>
      <c r="K189" s="18" t="n"/>
      <c r="L189" s="35">
        <f>IF($F189="","",$F189*$K189/100)</f>
        <v/>
      </c>
      <c r="M189" s="20">
        <f>IF($A189="","",ROUNDUP(MONTH($A189)/3,0))</f>
        <v/>
      </c>
    </row>
    <row r="190">
      <c r="A190" s="33" t="n"/>
      <c r="B190" s="16" t="n"/>
      <c r="C190" s="16" t="n"/>
      <c r="D190" s="16" t="n"/>
      <c r="E190" s="16" t="n"/>
      <c r="F190" s="34" t="n"/>
      <c r="G190" s="18" t="n"/>
      <c r="H190" s="35">
        <f>IF($F190="","",$F190*$G190/100)</f>
        <v/>
      </c>
      <c r="I190" s="18" t="n"/>
      <c r="J190" s="35">
        <f>IF($F190="","",$H190*$I190/100)</f>
        <v/>
      </c>
      <c r="K190" s="18" t="n"/>
      <c r="L190" s="35">
        <f>IF($F190="","",$F190*$K190/100)</f>
        <v/>
      </c>
      <c r="M190" s="20">
        <f>IF($A190="","",ROUNDUP(MONTH($A190)/3,0))</f>
        <v/>
      </c>
    </row>
    <row r="191">
      <c r="A191" s="33" t="n"/>
      <c r="B191" s="16" t="n"/>
      <c r="C191" s="16" t="n"/>
      <c r="D191" s="16" t="n"/>
      <c r="E191" s="16" t="n"/>
      <c r="F191" s="34" t="n"/>
      <c r="G191" s="18" t="n"/>
      <c r="H191" s="35">
        <f>IF($F191="","",$F191*$G191/100)</f>
        <v/>
      </c>
      <c r="I191" s="18" t="n"/>
      <c r="J191" s="35">
        <f>IF($F191="","",$H191*$I191/100)</f>
        <v/>
      </c>
      <c r="K191" s="18" t="n"/>
      <c r="L191" s="35">
        <f>IF($F191="","",$F191*$K191/100)</f>
        <v/>
      </c>
      <c r="M191" s="20">
        <f>IF($A191="","",ROUNDUP(MONTH($A191)/3,0))</f>
        <v/>
      </c>
    </row>
    <row r="192">
      <c r="A192" s="33" t="n"/>
      <c r="B192" s="16" t="n"/>
      <c r="C192" s="16" t="n"/>
      <c r="D192" s="16" t="n"/>
      <c r="E192" s="16" t="n"/>
      <c r="F192" s="34" t="n"/>
      <c r="G192" s="18" t="n"/>
      <c r="H192" s="35">
        <f>IF($F192="","",$F192*$G192/100)</f>
        <v/>
      </c>
      <c r="I192" s="18" t="n"/>
      <c r="J192" s="35">
        <f>IF($F192="","",$H192*$I192/100)</f>
        <v/>
      </c>
      <c r="K192" s="18" t="n"/>
      <c r="L192" s="35">
        <f>IF($F192="","",$F192*$K192/100)</f>
        <v/>
      </c>
      <c r="M192" s="20">
        <f>IF($A192="","",ROUNDUP(MONTH($A192)/3,0))</f>
        <v/>
      </c>
    </row>
    <row r="193">
      <c r="A193" s="33" t="n"/>
      <c r="B193" s="16" t="n"/>
      <c r="C193" s="16" t="n"/>
      <c r="D193" s="16" t="n"/>
      <c r="E193" s="16" t="n"/>
      <c r="F193" s="34" t="n"/>
      <c r="G193" s="18" t="n"/>
      <c r="H193" s="35">
        <f>IF($F193="","",$F193*$G193/100)</f>
        <v/>
      </c>
      <c r="I193" s="18" t="n"/>
      <c r="J193" s="35">
        <f>IF($F193="","",$H193*$I193/100)</f>
        <v/>
      </c>
      <c r="K193" s="18" t="n"/>
      <c r="L193" s="35">
        <f>IF($F193="","",$F193*$K193/100)</f>
        <v/>
      </c>
      <c r="M193" s="20">
        <f>IF($A193="","",ROUNDUP(MONTH($A193)/3,0))</f>
        <v/>
      </c>
    </row>
    <row r="194">
      <c r="A194" s="33" t="n"/>
      <c r="B194" s="16" t="n"/>
      <c r="C194" s="16" t="n"/>
      <c r="D194" s="16" t="n"/>
      <c r="E194" s="16" t="n"/>
      <c r="F194" s="34" t="n"/>
      <c r="G194" s="18" t="n"/>
      <c r="H194" s="35">
        <f>IF($F194="","",$F194*$G194/100)</f>
        <v/>
      </c>
      <c r="I194" s="18" t="n"/>
      <c r="J194" s="35">
        <f>IF($F194="","",$H194*$I194/100)</f>
        <v/>
      </c>
      <c r="K194" s="18" t="n"/>
      <c r="L194" s="35">
        <f>IF($F194="","",$F194*$K194/100)</f>
        <v/>
      </c>
      <c r="M194" s="20">
        <f>IF($A194="","",ROUNDUP(MONTH($A194)/3,0))</f>
        <v/>
      </c>
    </row>
    <row r="195">
      <c r="A195" s="33" t="n"/>
      <c r="B195" s="16" t="n"/>
      <c r="C195" s="16" t="n"/>
      <c r="D195" s="16" t="n"/>
      <c r="E195" s="16" t="n"/>
      <c r="F195" s="34" t="n"/>
      <c r="G195" s="18" t="n"/>
      <c r="H195" s="35">
        <f>IF($F195="","",$F195*$G195/100)</f>
        <v/>
      </c>
      <c r="I195" s="18" t="n"/>
      <c r="J195" s="35">
        <f>IF($F195="","",$H195*$I195/100)</f>
        <v/>
      </c>
      <c r="K195" s="18" t="n"/>
      <c r="L195" s="35">
        <f>IF($F195="","",$F195*$K195/100)</f>
        <v/>
      </c>
      <c r="M195" s="20">
        <f>IF($A195="","",ROUNDUP(MONTH($A195)/3,0))</f>
        <v/>
      </c>
    </row>
    <row r="196">
      <c r="A196" s="33" t="n"/>
      <c r="B196" s="16" t="n"/>
      <c r="C196" s="16" t="n"/>
      <c r="D196" s="16" t="n"/>
      <c r="E196" s="16" t="n"/>
      <c r="F196" s="34" t="n"/>
      <c r="G196" s="18" t="n"/>
      <c r="H196" s="35">
        <f>IF($F196="","",$F196*$G196/100)</f>
        <v/>
      </c>
      <c r="I196" s="18" t="n"/>
      <c r="J196" s="35">
        <f>IF($F196="","",$H196*$I196/100)</f>
        <v/>
      </c>
      <c r="K196" s="18" t="n"/>
      <c r="L196" s="35">
        <f>IF($F196="","",$F196*$K196/100)</f>
        <v/>
      </c>
      <c r="M196" s="20">
        <f>IF($A196="","",ROUNDUP(MONTH($A196)/3,0))</f>
        <v/>
      </c>
    </row>
    <row r="197">
      <c r="A197" s="33" t="n"/>
      <c r="B197" s="16" t="n"/>
      <c r="C197" s="16" t="n"/>
      <c r="D197" s="16" t="n"/>
      <c r="E197" s="16" t="n"/>
      <c r="F197" s="34" t="n"/>
      <c r="G197" s="18" t="n"/>
      <c r="H197" s="35">
        <f>IF($F197="","",$F197*$G197/100)</f>
        <v/>
      </c>
      <c r="I197" s="18" t="n"/>
      <c r="J197" s="35">
        <f>IF($F197="","",$H197*$I197/100)</f>
        <v/>
      </c>
      <c r="K197" s="18" t="n"/>
      <c r="L197" s="35">
        <f>IF($F197="","",$F197*$K197/100)</f>
        <v/>
      </c>
      <c r="M197" s="20">
        <f>IF($A197="","",ROUNDUP(MONTH($A197)/3,0))</f>
        <v/>
      </c>
    </row>
    <row r="198">
      <c r="A198" s="33" t="n"/>
      <c r="B198" s="16" t="n"/>
      <c r="C198" s="16" t="n"/>
      <c r="D198" s="16" t="n"/>
      <c r="E198" s="16" t="n"/>
      <c r="F198" s="34" t="n"/>
      <c r="G198" s="18" t="n"/>
      <c r="H198" s="35">
        <f>IF($F198="","",$F198*$G198/100)</f>
        <v/>
      </c>
      <c r="I198" s="18" t="n"/>
      <c r="J198" s="35">
        <f>IF($F198="","",$H198*$I198/100)</f>
        <v/>
      </c>
      <c r="K198" s="18" t="n"/>
      <c r="L198" s="35">
        <f>IF($F198="","",$F198*$K198/100)</f>
        <v/>
      </c>
      <c r="M198" s="20">
        <f>IF($A198="","",ROUNDUP(MONTH($A198)/3,0))</f>
        <v/>
      </c>
    </row>
    <row r="199">
      <c r="A199" s="33" t="n"/>
      <c r="B199" s="16" t="n"/>
      <c r="C199" s="16" t="n"/>
      <c r="D199" s="16" t="n"/>
      <c r="E199" s="16" t="n"/>
      <c r="F199" s="34" t="n"/>
      <c r="G199" s="18" t="n"/>
      <c r="H199" s="35">
        <f>IF($F199="","",$F199*$G199/100)</f>
        <v/>
      </c>
      <c r="I199" s="18" t="n"/>
      <c r="J199" s="35">
        <f>IF($F199="","",$H199*$I199/100)</f>
        <v/>
      </c>
      <c r="K199" s="18" t="n"/>
      <c r="L199" s="35">
        <f>IF($F199="","",$F199*$K199/100)</f>
        <v/>
      </c>
      <c r="M199" s="20">
        <f>IF($A199="","",ROUNDUP(MONTH($A199)/3,0))</f>
        <v/>
      </c>
    </row>
    <row r="200">
      <c r="A200" s="33" t="n"/>
      <c r="B200" s="16" t="n"/>
      <c r="C200" s="16" t="n"/>
      <c r="D200" s="16" t="n"/>
      <c r="E200" s="16" t="n"/>
      <c r="F200" s="34" t="n"/>
      <c r="G200" s="18" t="n"/>
      <c r="H200" s="35">
        <f>IF($F200="","",$F200*$G200/100)</f>
        <v/>
      </c>
      <c r="I200" s="18" t="n"/>
      <c r="J200" s="35">
        <f>IF($F200="","",$H200*$I200/100)</f>
        <v/>
      </c>
      <c r="K200" s="18" t="n"/>
      <c r="L200" s="35">
        <f>IF($F200="","",$F200*$K200/100)</f>
        <v/>
      </c>
      <c r="M200" s="20">
        <f>IF($A200="","",ROUNDUP(MONTH($A200)/3,0))</f>
        <v/>
      </c>
    </row>
    <row r="201">
      <c r="A201" s="33" t="n"/>
      <c r="B201" s="16" t="n"/>
      <c r="C201" s="16" t="n"/>
      <c r="D201" s="16" t="n"/>
      <c r="E201" s="16" t="n"/>
      <c r="F201" s="34" t="n"/>
      <c r="G201" s="18" t="n"/>
      <c r="H201" s="35">
        <f>IF($F201="","",$F201*$G201/100)</f>
        <v/>
      </c>
      <c r="I201" s="18" t="n"/>
      <c r="J201" s="35">
        <f>IF($F201="","",$H201*$I201/100)</f>
        <v/>
      </c>
      <c r="K201" s="18" t="n"/>
      <c r="L201" s="35">
        <f>IF($F201="","",$F201*$K201/100)</f>
        <v/>
      </c>
      <c r="M201" s="20">
        <f>IF($A201="","",ROUNDUP(MONTH($A201)/3,0))</f>
        <v/>
      </c>
    </row>
    <row r="202">
      <c r="A202" s="33" t="n"/>
      <c r="B202" s="16" t="n"/>
      <c r="C202" s="16" t="n"/>
      <c r="D202" s="16" t="n"/>
      <c r="E202" s="16" t="n"/>
      <c r="F202" s="34" t="n"/>
      <c r="G202" s="18" t="n"/>
      <c r="H202" s="35">
        <f>IF($F202="","",$F202*$G202/100)</f>
        <v/>
      </c>
      <c r="I202" s="18" t="n"/>
      <c r="J202" s="35">
        <f>IF($F202="","",$H202*$I202/100)</f>
        <v/>
      </c>
      <c r="K202" s="18" t="n"/>
      <c r="L202" s="35">
        <f>IF($F202="","",$F202*$K202/100)</f>
        <v/>
      </c>
      <c r="M202" s="20">
        <f>IF($A202="","",ROUNDUP(MONTH($A202)/3,0))</f>
        <v/>
      </c>
    </row>
    <row r="203">
      <c r="A203" s="33" t="n"/>
      <c r="B203" s="16" t="n"/>
      <c r="C203" s="16" t="n"/>
      <c r="D203" s="16" t="n"/>
      <c r="E203" s="16" t="n"/>
      <c r="F203" s="34" t="n"/>
      <c r="G203" s="18" t="n"/>
      <c r="H203" s="35">
        <f>IF($F203="","",$F203*$G203/100)</f>
        <v/>
      </c>
      <c r="I203" s="18" t="n"/>
      <c r="J203" s="35">
        <f>IF($F203="","",$H203*$I203/100)</f>
        <v/>
      </c>
      <c r="K203" s="18" t="n"/>
      <c r="L203" s="35">
        <f>IF($F203="","",$F203*$K203/100)</f>
        <v/>
      </c>
      <c r="M203" s="20">
        <f>IF($A203="","",ROUNDUP(MONTH($A203)/3,0))</f>
        <v/>
      </c>
    </row>
    <row r="204">
      <c r="A204" s="33" t="n"/>
      <c r="B204" s="16" t="n"/>
      <c r="C204" s="16" t="n"/>
      <c r="D204" s="16" t="n"/>
      <c r="E204" s="16" t="n"/>
      <c r="F204" s="34" t="n"/>
      <c r="G204" s="18" t="n"/>
      <c r="H204" s="35">
        <f>IF($F204="","",$F204*$G204/100)</f>
        <v/>
      </c>
      <c r="I204" s="18" t="n"/>
      <c r="J204" s="35">
        <f>IF($F204="","",$H204*$I204/100)</f>
        <v/>
      </c>
      <c r="K204" s="18" t="n"/>
      <c r="L204" s="35">
        <f>IF($F204="","",$F204*$K204/100)</f>
        <v/>
      </c>
      <c r="M204" s="20">
        <f>IF($A204="","",ROUNDUP(MONTH($A204)/3,0))</f>
        <v/>
      </c>
    </row>
    <row r="205">
      <c r="A205" s="33" t="n"/>
      <c r="B205" s="16" t="n"/>
      <c r="C205" s="16" t="n"/>
      <c r="D205" s="16" t="n"/>
      <c r="E205" s="16" t="n"/>
      <c r="F205" s="34" t="n"/>
      <c r="G205" s="18" t="n"/>
      <c r="H205" s="35">
        <f>IF($F205="","",$F205*$G205/100)</f>
        <v/>
      </c>
      <c r="I205" s="18" t="n"/>
      <c r="J205" s="35">
        <f>IF($F205="","",$H205*$I205/100)</f>
        <v/>
      </c>
      <c r="K205" s="18" t="n"/>
      <c r="L205" s="35">
        <f>IF($F205="","",$F205*$K205/100)</f>
        <v/>
      </c>
      <c r="M205" s="20">
        <f>IF($A205="","",ROUNDUP(MONTH($A205)/3,0))</f>
        <v/>
      </c>
    </row>
    <row r="206">
      <c r="A206" s="33" t="n"/>
      <c r="B206" s="16" t="n"/>
      <c r="C206" s="16" t="n"/>
      <c r="D206" s="16" t="n"/>
      <c r="E206" s="16" t="n"/>
      <c r="F206" s="34" t="n"/>
      <c r="G206" s="18" t="n"/>
      <c r="H206" s="35">
        <f>IF($F206="","",$F206*$G206/100)</f>
        <v/>
      </c>
      <c r="I206" s="18" t="n"/>
      <c r="J206" s="35">
        <f>IF($F206="","",$H206*$I206/100)</f>
        <v/>
      </c>
      <c r="K206" s="18" t="n"/>
      <c r="L206" s="35">
        <f>IF($F206="","",$F206*$K206/100)</f>
        <v/>
      </c>
      <c r="M206" s="20">
        <f>IF($A206="","",ROUNDUP(MONTH($A206)/3,0))</f>
        <v/>
      </c>
    </row>
    <row r="207">
      <c r="A207" s="33" t="n"/>
      <c r="B207" s="16" t="n"/>
      <c r="C207" s="16" t="n"/>
      <c r="D207" s="16" t="n"/>
      <c r="E207" s="16" t="n"/>
      <c r="F207" s="34" t="n"/>
      <c r="G207" s="18" t="n"/>
      <c r="H207" s="35">
        <f>IF($F207="","",$F207*$G207/100)</f>
        <v/>
      </c>
      <c r="I207" s="18" t="n"/>
      <c r="J207" s="35">
        <f>IF($F207="","",$H207*$I207/100)</f>
        <v/>
      </c>
      <c r="K207" s="18" t="n"/>
      <c r="L207" s="35">
        <f>IF($F207="","",$F207*$K207/100)</f>
        <v/>
      </c>
      <c r="M207" s="20">
        <f>IF($A207="","",ROUNDUP(MONTH($A207)/3,0))</f>
        <v/>
      </c>
    </row>
    <row r="208">
      <c r="A208" s="33" t="n"/>
      <c r="B208" s="16" t="n"/>
      <c r="C208" s="16" t="n"/>
      <c r="D208" s="16" t="n"/>
      <c r="E208" s="16" t="n"/>
      <c r="F208" s="34" t="n"/>
      <c r="G208" s="18" t="n"/>
      <c r="H208" s="35">
        <f>IF($F208="","",$F208*$G208/100)</f>
        <v/>
      </c>
      <c r="I208" s="18" t="n"/>
      <c r="J208" s="35">
        <f>IF($F208="","",$H208*$I208/100)</f>
        <v/>
      </c>
      <c r="K208" s="18" t="n"/>
      <c r="L208" s="35">
        <f>IF($F208="","",$F208*$K208/100)</f>
        <v/>
      </c>
      <c r="M208" s="20">
        <f>IF($A208="","",ROUNDUP(MONTH($A208)/3,0))</f>
        <v/>
      </c>
    </row>
    <row r="209">
      <c r="A209" s="33" t="n"/>
      <c r="B209" s="16" t="n"/>
      <c r="C209" s="16" t="n"/>
      <c r="D209" s="16" t="n"/>
      <c r="E209" s="16" t="n"/>
      <c r="F209" s="34" t="n"/>
      <c r="G209" s="18" t="n"/>
      <c r="H209" s="35">
        <f>IF($F209="","",$F209*$G209/100)</f>
        <v/>
      </c>
      <c r="I209" s="18" t="n"/>
      <c r="J209" s="35">
        <f>IF($F209="","",$H209*$I209/100)</f>
        <v/>
      </c>
      <c r="K209" s="18" t="n"/>
      <c r="L209" s="35">
        <f>IF($F209="","",$F209*$K209/100)</f>
        <v/>
      </c>
      <c r="M209" s="20">
        <f>IF($A209="","",ROUNDUP(MONTH($A209)/3,0))</f>
        <v/>
      </c>
    </row>
    <row r="210">
      <c r="A210" s="33" t="n"/>
      <c r="B210" s="16" t="n"/>
      <c r="C210" s="16" t="n"/>
      <c r="D210" s="16" t="n"/>
      <c r="E210" s="16" t="n"/>
      <c r="F210" s="34" t="n"/>
      <c r="G210" s="18" t="n"/>
      <c r="H210" s="35">
        <f>IF($F210="","",$F210*$G210/100)</f>
        <v/>
      </c>
      <c r="I210" s="18" t="n"/>
      <c r="J210" s="35">
        <f>IF($F210="","",$H210*$I210/100)</f>
        <v/>
      </c>
      <c r="K210" s="18" t="n"/>
      <c r="L210" s="35">
        <f>IF($F210="","",$F210*$K210/100)</f>
        <v/>
      </c>
      <c r="M210" s="20">
        <f>IF($A210="","",ROUNDUP(MONTH($A210)/3,0))</f>
        <v/>
      </c>
    </row>
    <row r="211">
      <c r="A211" s="33" t="n"/>
      <c r="B211" s="16" t="n"/>
      <c r="C211" s="16" t="n"/>
      <c r="D211" s="16" t="n"/>
      <c r="E211" s="16" t="n"/>
      <c r="F211" s="34" t="n"/>
      <c r="G211" s="18" t="n"/>
      <c r="H211" s="35">
        <f>IF($F211="","",$F211*$G211/100)</f>
        <v/>
      </c>
      <c r="I211" s="18" t="n"/>
      <c r="J211" s="35">
        <f>IF($F211="","",$H211*$I211/100)</f>
        <v/>
      </c>
      <c r="K211" s="18" t="n"/>
      <c r="L211" s="35">
        <f>IF($F211="","",$F211*$K211/100)</f>
        <v/>
      </c>
      <c r="M211" s="20">
        <f>IF($A211="","",ROUNDUP(MONTH($A211)/3,0))</f>
        <v/>
      </c>
    </row>
    <row r="212">
      <c r="A212" s="33" t="n"/>
      <c r="B212" s="16" t="n"/>
      <c r="C212" s="16" t="n"/>
      <c r="D212" s="16" t="n"/>
      <c r="E212" s="16" t="n"/>
      <c r="F212" s="34" t="n"/>
      <c r="G212" s="18" t="n"/>
      <c r="H212" s="35">
        <f>IF($F212="","",$F212*$G212/100)</f>
        <v/>
      </c>
      <c r="I212" s="18" t="n"/>
      <c r="J212" s="35">
        <f>IF($F212="","",$H212*$I212/100)</f>
        <v/>
      </c>
      <c r="K212" s="18" t="n"/>
      <c r="L212" s="35">
        <f>IF($F212="","",$F212*$K212/100)</f>
        <v/>
      </c>
      <c r="M212" s="20">
        <f>IF($A212="","",ROUNDUP(MONTH($A212)/3,0))</f>
        <v/>
      </c>
    </row>
    <row r="213">
      <c r="A213" s="33" t="n"/>
      <c r="B213" s="16" t="n"/>
      <c r="C213" s="16" t="n"/>
      <c r="D213" s="16" t="n"/>
      <c r="E213" s="16" t="n"/>
      <c r="F213" s="34" t="n"/>
      <c r="G213" s="18" t="n"/>
      <c r="H213" s="35">
        <f>IF($F213="","",$F213*$G213/100)</f>
        <v/>
      </c>
      <c r="I213" s="18" t="n"/>
      <c r="J213" s="35">
        <f>IF($F213="","",$H213*$I213/100)</f>
        <v/>
      </c>
      <c r="K213" s="18" t="n"/>
      <c r="L213" s="35">
        <f>IF($F213="","",$F213*$K213/100)</f>
        <v/>
      </c>
      <c r="M213" s="20">
        <f>IF($A213="","",ROUNDUP(MONTH($A213)/3,0))</f>
        <v/>
      </c>
    </row>
    <row r="214">
      <c r="A214" s="33" t="n"/>
      <c r="B214" s="16" t="n"/>
      <c r="C214" s="16" t="n"/>
      <c r="D214" s="16" t="n"/>
      <c r="E214" s="16" t="n"/>
      <c r="F214" s="34" t="n"/>
      <c r="G214" s="18" t="n"/>
      <c r="H214" s="35">
        <f>IF($F214="","",$F214*$G214/100)</f>
        <v/>
      </c>
      <c r="I214" s="18" t="n"/>
      <c r="J214" s="35">
        <f>IF($F214="","",$H214*$I214/100)</f>
        <v/>
      </c>
      <c r="K214" s="18" t="n"/>
      <c r="L214" s="35">
        <f>IF($F214="","",$F214*$K214/100)</f>
        <v/>
      </c>
      <c r="M214" s="20">
        <f>IF($A214="","",ROUNDUP(MONTH($A214)/3,0))</f>
        <v/>
      </c>
    </row>
    <row r="215">
      <c r="A215" s="33" t="n"/>
      <c r="B215" s="16" t="n"/>
      <c r="C215" s="16" t="n"/>
      <c r="D215" s="16" t="n"/>
      <c r="E215" s="16" t="n"/>
      <c r="F215" s="34" t="n"/>
      <c r="G215" s="18" t="n"/>
      <c r="H215" s="35">
        <f>IF($F215="","",$F215*$G215/100)</f>
        <v/>
      </c>
      <c r="I215" s="18" t="n"/>
      <c r="J215" s="35">
        <f>IF($F215="","",$H215*$I215/100)</f>
        <v/>
      </c>
      <c r="K215" s="18" t="n"/>
      <c r="L215" s="35">
        <f>IF($F215="","",$F215*$K215/100)</f>
        <v/>
      </c>
      <c r="M215" s="20">
        <f>IF($A215="","",ROUNDUP(MONTH($A215)/3,0))</f>
        <v/>
      </c>
    </row>
    <row r="216">
      <c r="A216" s="33" t="n"/>
      <c r="B216" s="16" t="n"/>
      <c r="C216" s="16" t="n"/>
      <c r="D216" s="16" t="n"/>
      <c r="E216" s="16" t="n"/>
      <c r="F216" s="34" t="n"/>
      <c r="G216" s="18" t="n"/>
      <c r="H216" s="35">
        <f>IF($F216="","",$F216*$G216/100)</f>
        <v/>
      </c>
      <c r="I216" s="18" t="n"/>
      <c r="J216" s="35">
        <f>IF($F216="","",$H216*$I216/100)</f>
        <v/>
      </c>
      <c r="K216" s="18" t="n"/>
      <c r="L216" s="35">
        <f>IF($F216="","",$F216*$K216/100)</f>
        <v/>
      </c>
      <c r="M216" s="20">
        <f>IF($A216="","",ROUNDUP(MONTH($A216)/3,0))</f>
        <v/>
      </c>
    </row>
    <row r="217">
      <c r="A217" s="33" t="n"/>
      <c r="B217" s="16" t="n"/>
      <c r="C217" s="16" t="n"/>
      <c r="D217" s="16" t="n"/>
      <c r="E217" s="16" t="n"/>
      <c r="F217" s="34" t="n"/>
      <c r="G217" s="18" t="n"/>
      <c r="H217" s="35">
        <f>IF($F217="","",$F217*$G217/100)</f>
        <v/>
      </c>
      <c r="I217" s="18" t="n"/>
      <c r="J217" s="35">
        <f>IF($F217="","",$H217*$I217/100)</f>
        <v/>
      </c>
      <c r="K217" s="18" t="n"/>
      <c r="L217" s="35">
        <f>IF($F217="","",$F217*$K217/100)</f>
        <v/>
      </c>
      <c r="M217" s="20">
        <f>IF($A217="","",ROUNDUP(MONTH($A217)/3,0))</f>
        <v/>
      </c>
    </row>
    <row r="218">
      <c r="A218" s="33" t="n"/>
      <c r="B218" s="16" t="n"/>
      <c r="C218" s="16" t="n"/>
      <c r="D218" s="16" t="n"/>
      <c r="E218" s="16" t="n"/>
      <c r="F218" s="34" t="n"/>
      <c r="G218" s="18" t="n"/>
      <c r="H218" s="35">
        <f>IF($F218="","",$F218*$G218/100)</f>
        <v/>
      </c>
      <c r="I218" s="18" t="n"/>
      <c r="J218" s="35">
        <f>IF($F218="","",$H218*$I218/100)</f>
        <v/>
      </c>
      <c r="K218" s="18" t="n"/>
      <c r="L218" s="35">
        <f>IF($F218="","",$F218*$K218/100)</f>
        <v/>
      </c>
      <c r="M218" s="20">
        <f>IF($A218="","",ROUNDUP(MONTH($A218)/3,0))</f>
        <v/>
      </c>
    </row>
    <row r="219">
      <c r="A219" s="33" t="n"/>
      <c r="B219" s="16" t="n"/>
      <c r="C219" s="16" t="n"/>
      <c r="D219" s="16" t="n"/>
      <c r="E219" s="16" t="n"/>
      <c r="F219" s="34" t="n"/>
      <c r="G219" s="18" t="n"/>
      <c r="H219" s="35">
        <f>IF($F219="","",$F219*$G219/100)</f>
        <v/>
      </c>
      <c r="I219" s="18" t="n"/>
      <c r="J219" s="35">
        <f>IF($F219="","",$H219*$I219/100)</f>
        <v/>
      </c>
      <c r="K219" s="18" t="n"/>
      <c r="L219" s="35">
        <f>IF($F219="","",$F219*$K219/100)</f>
        <v/>
      </c>
      <c r="M219" s="20">
        <f>IF($A219="","",ROUNDUP(MONTH($A219)/3,0))</f>
        <v/>
      </c>
    </row>
    <row r="220">
      <c r="A220" s="33" t="n"/>
      <c r="B220" s="16" t="n"/>
      <c r="C220" s="16" t="n"/>
      <c r="D220" s="16" t="n"/>
      <c r="E220" s="16" t="n"/>
      <c r="F220" s="34" t="n"/>
      <c r="G220" s="18" t="n"/>
      <c r="H220" s="35">
        <f>IF($F220="","",$F220*$G220/100)</f>
        <v/>
      </c>
      <c r="I220" s="18" t="n"/>
      <c r="J220" s="35">
        <f>IF($F220="","",$H220*$I220/100)</f>
        <v/>
      </c>
      <c r="K220" s="18" t="n"/>
      <c r="L220" s="35">
        <f>IF($F220="","",$F220*$K220/100)</f>
        <v/>
      </c>
      <c r="M220" s="20">
        <f>IF($A220="","",ROUNDUP(MONTH($A220)/3,0))</f>
        <v/>
      </c>
    </row>
    <row r="221">
      <c r="A221" s="33" t="n"/>
      <c r="B221" s="16" t="n"/>
      <c r="C221" s="16" t="n"/>
      <c r="D221" s="16" t="n"/>
      <c r="E221" s="16" t="n"/>
      <c r="F221" s="34" t="n"/>
      <c r="G221" s="18" t="n"/>
      <c r="H221" s="35">
        <f>IF($F221="","",$F221*$G221/100)</f>
        <v/>
      </c>
      <c r="I221" s="18" t="n"/>
      <c r="J221" s="35">
        <f>IF($F221="","",$H221*$I221/100)</f>
        <v/>
      </c>
      <c r="K221" s="18" t="n"/>
      <c r="L221" s="35">
        <f>IF($F221="","",$F221*$K221/100)</f>
        <v/>
      </c>
      <c r="M221" s="20">
        <f>IF($A221="","",ROUNDUP(MONTH($A221)/3,0))</f>
        <v/>
      </c>
    </row>
    <row r="222">
      <c r="A222" s="33" t="n"/>
      <c r="B222" s="16" t="n"/>
      <c r="C222" s="16" t="n"/>
      <c r="D222" s="16" t="n"/>
      <c r="E222" s="16" t="n"/>
      <c r="F222" s="34" t="n"/>
      <c r="G222" s="18" t="n"/>
      <c r="H222" s="35">
        <f>IF($F222="","",$F222*$G222/100)</f>
        <v/>
      </c>
      <c r="I222" s="18" t="n"/>
      <c r="J222" s="35">
        <f>IF($F222="","",$H222*$I222/100)</f>
        <v/>
      </c>
      <c r="K222" s="18" t="n"/>
      <c r="L222" s="35">
        <f>IF($F222="","",$F222*$K222/100)</f>
        <v/>
      </c>
      <c r="M222" s="20">
        <f>IF($A222="","",ROUNDUP(MONTH($A222)/3,0))</f>
        <v/>
      </c>
    </row>
    <row r="223">
      <c r="A223" s="33" t="n"/>
      <c r="B223" s="16" t="n"/>
      <c r="C223" s="16" t="n"/>
      <c r="D223" s="16" t="n"/>
      <c r="E223" s="16" t="n"/>
      <c r="F223" s="34" t="n"/>
      <c r="G223" s="18" t="n"/>
      <c r="H223" s="35">
        <f>IF($F223="","",$F223*$G223/100)</f>
        <v/>
      </c>
      <c r="I223" s="18" t="n"/>
      <c r="J223" s="35">
        <f>IF($F223="","",$H223*$I223/100)</f>
        <v/>
      </c>
      <c r="K223" s="18" t="n"/>
      <c r="L223" s="35">
        <f>IF($F223="","",$F223*$K223/100)</f>
        <v/>
      </c>
      <c r="M223" s="20">
        <f>IF($A223="","",ROUNDUP(MONTH($A223)/3,0))</f>
        <v/>
      </c>
    </row>
    <row r="224">
      <c r="A224" s="33" t="n"/>
      <c r="B224" s="16" t="n"/>
      <c r="C224" s="16" t="n"/>
      <c r="D224" s="16" t="n"/>
      <c r="E224" s="16" t="n"/>
      <c r="F224" s="34" t="n"/>
      <c r="G224" s="18" t="n"/>
      <c r="H224" s="35">
        <f>IF($F224="","",$F224*$G224/100)</f>
        <v/>
      </c>
      <c r="I224" s="18" t="n"/>
      <c r="J224" s="35">
        <f>IF($F224="","",$H224*$I224/100)</f>
        <v/>
      </c>
      <c r="K224" s="18" t="n"/>
      <c r="L224" s="35">
        <f>IF($F224="","",$F224*$K224/100)</f>
        <v/>
      </c>
      <c r="M224" s="20">
        <f>IF($A224="","",ROUNDUP(MONTH($A224)/3,0))</f>
        <v/>
      </c>
    </row>
    <row r="225">
      <c r="A225" s="33" t="n"/>
      <c r="B225" s="16" t="n"/>
      <c r="C225" s="16" t="n"/>
      <c r="D225" s="16" t="n"/>
      <c r="E225" s="16" t="n"/>
      <c r="F225" s="34" t="n"/>
      <c r="G225" s="18" t="n"/>
      <c r="H225" s="35">
        <f>IF($F225="","",$F225*$G225/100)</f>
        <v/>
      </c>
      <c r="I225" s="18" t="n"/>
      <c r="J225" s="35">
        <f>IF($F225="","",$H225*$I225/100)</f>
        <v/>
      </c>
      <c r="K225" s="18" t="n"/>
      <c r="L225" s="35">
        <f>IF($F225="","",$F225*$K225/100)</f>
        <v/>
      </c>
      <c r="M225" s="20">
        <f>IF($A225="","",ROUNDUP(MONTH($A225)/3,0))</f>
        <v/>
      </c>
    </row>
    <row r="226">
      <c r="A226" s="33" t="n"/>
      <c r="B226" s="16" t="n"/>
      <c r="C226" s="16" t="n"/>
      <c r="D226" s="16" t="n"/>
      <c r="E226" s="16" t="n"/>
      <c r="F226" s="34" t="n"/>
      <c r="G226" s="18" t="n"/>
      <c r="H226" s="35">
        <f>IF($F226="","",$F226*$G226/100)</f>
        <v/>
      </c>
      <c r="I226" s="18" t="n"/>
      <c r="J226" s="35">
        <f>IF($F226="","",$H226*$I226/100)</f>
        <v/>
      </c>
      <c r="K226" s="18" t="n"/>
      <c r="L226" s="35">
        <f>IF($F226="","",$F226*$K226/100)</f>
        <v/>
      </c>
      <c r="M226" s="20">
        <f>IF($A226="","",ROUNDUP(MONTH($A226)/3,0))</f>
        <v/>
      </c>
    </row>
    <row r="227">
      <c r="A227" s="33" t="n"/>
      <c r="B227" s="16" t="n"/>
      <c r="C227" s="16" t="n"/>
      <c r="D227" s="16" t="n"/>
      <c r="E227" s="16" t="n"/>
      <c r="F227" s="34" t="n"/>
      <c r="G227" s="18" t="n"/>
      <c r="H227" s="35">
        <f>IF($F227="","",$F227*$G227/100)</f>
        <v/>
      </c>
      <c r="I227" s="18" t="n"/>
      <c r="J227" s="35">
        <f>IF($F227="","",$H227*$I227/100)</f>
        <v/>
      </c>
      <c r="K227" s="18" t="n"/>
      <c r="L227" s="35">
        <f>IF($F227="","",$F227*$K227/100)</f>
        <v/>
      </c>
      <c r="M227" s="20">
        <f>IF($A227="","",ROUNDUP(MONTH($A227)/3,0))</f>
        <v/>
      </c>
    </row>
    <row r="228">
      <c r="A228" s="33" t="n"/>
      <c r="B228" s="16" t="n"/>
      <c r="C228" s="16" t="n"/>
      <c r="D228" s="16" t="n"/>
      <c r="E228" s="16" t="n"/>
      <c r="F228" s="34" t="n"/>
      <c r="G228" s="18" t="n"/>
      <c r="H228" s="35">
        <f>IF($F228="","",$F228*$G228/100)</f>
        <v/>
      </c>
      <c r="I228" s="18" t="n"/>
      <c r="J228" s="35">
        <f>IF($F228="","",$H228*$I228/100)</f>
        <v/>
      </c>
      <c r="K228" s="18" t="n"/>
      <c r="L228" s="35">
        <f>IF($F228="","",$F228*$K228/100)</f>
        <v/>
      </c>
      <c r="M228" s="20">
        <f>IF($A228="","",ROUNDUP(MONTH($A228)/3,0))</f>
        <v/>
      </c>
    </row>
    <row r="229">
      <c r="A229" s="33" t="n"/>
      <c r="B229" s="16" t="n"/>
      <c r="C229" s="16" t="n"/>
      <c r="D229" s="16" t="n"/>
      <c r="E229" s="16" t="n"/>
      <c r="F229" s="34" t="n"/>
      <c r="G229" s="18" t="n"/>
      <c r="H229" s="35">
        <f>IF($F229="","",$F229*$G229/100)</f>
        <v/>
      </c>
      <c r="I229" s="18" t="n"/>
      <c r="J229" s="35">
        <f>IF($F229="","",$H229*$I229/100)</f>
        <v/>
      </c>
      <c r="K229" s="18" t="n"/>
      <c r="L229" s="35">
        <f>IF($F229="","",$F229*$K229/100)</f>
        <v/>
      </c>
      <c r="M229" s="20">
        <f>IF($A229="","",ROUNDUP(MONTH($A229)/3,0))</f>
        <v/>
      </c>
    </row>
    <row r="230">
      <c r="A230" s="33" t="n"/>
      <c r="B230" s="16" t="n"/>
      <c r="C230" s="16" t="n"/>
      <c r="D230" s="16" t="n"/>
      <c r="E230" s="16" t="n"/>
      <c r="F230" s="34" t="n"/>
      <c r="G230" s="18" t="n"/>
      <c r="H230" s="35">
        <f>IF($F230="","",$F230*$G230/100)</f>
        <v/>
      </c>
      <c r="I230" s="18" t="n"/>
      <c r="J230" s="35">
        <f>IF($F230="","",$H230*$I230/100)</f>
        <v/>
      </c>
      <c r="K230" s="18" t="n"/>
      <c r="L230" s="35">
        <f>IF($F230="","",$F230*$K230/100)</f>
        <v/>
      </c>
      <c r="M230" s="20">
        <f>IF($A230="","",ROUNDUP(MONTH($A230)/3,0))</f>
        <v/>
      </c>
    </row>
    <row r="231">
      <c r="A231" s="33" t="n"/>
      <c r="B231" s="16" t="n"/>
      <c r="C231" s="16" t="n"/>
      <c r="D231" s="16" t="n"/>
      <c r="E231" s="16" t="n"/>
      <c r="F231" s="34" t="n"/>
      <c r="G231" s="18" t="n"/>
      <c r="H231" s="35">
        <f>IF($F231="","",$F231*$G231/100)</f>
        <v/>
      </c>
      <c r="I231" s="18" t="n"/>
      <c r="J231" s="35">
        <f>IF($F231="","",$H231*$I231/100)</f>
        <v/>
      </c>
      <c r="K231" s="18" t="n"/>
      <c r="L231" s="35">
        <f>IF($F231="","",$F231*$K231/100)</f>
        <v/>
      </c>
      <c r="M231" s="20">
        <f>IF($A231="","",ROUNDUP(MONTH($A231)/3,0))</f>
        <v/>
      </c>
    </row>
    <row r="232">
      <c r="A232" s="33" t="n"/>
      <c r="B232" s="16" t="n"/>
      <c r="C232" s="16" t="n"/>
      <c r="D232" s="16" t="n"/>
      <c r="E232" s="16" t="n"/>
      <c r="F232" s="34" t="n"/>
      <c r="G232" s="18" t="n"/>
      <c r="H232" s="35">
        <f>IF($F232="","",$F232*$G232/100)</f>
        <v/>
      </c>
      <c r="I232" s="18" t="n"/>
      <c r="J232" s="35">
        <f>IF($F232="","",$H232*$I232/100)</f>
        <v/>
      </c>
      <c r="K232" s="18" t="n"/>
      <c r="L232" s="35">
        <f>IF($F232="","",$F232*$K232/100)</f>
        <v/>
      </c>
      <c r="M232" s="20">
        <f>IF($A232="","",ROUNDUP(MONTH($A232)/3,0))</f>
        <v/>
      </c>
    </row>
    <row r="233">
      <c r="A233" s="33" t="n"/>
      <c r="B233" s="16" t="n"/>
      <c r="C233" s="16" t="n"/>
      <c r="D233" s="16" t="n"/>
      <c r="E233" s="16" t="n"/>
      <c r="F233" s="34" t="n"/>
      <c r="G233" s="18" t="n"/>
      <c r="H233" s="35">
        <f>IF($F233="","",$F233*$G233/100)</f>
        <v/>
      </c>
      <c r="I233" s="18" t="n"/>
      <c r="J233" s="35">
        <f>IF($F233="","",$H233*$I233/100)</f>
        <v/>
      </c>
      <c r="K233" s="18" t="n"/>
      <c r="L233" s="35">
        <f>IF($F233="","",$F233*$K233/100)</f>
        <v/>
      </c>
      <c r="M233" s="20">
        <f>IF($A233="","",ROUNDUP(MONTH($A233)/3,0))</f>
        <v/>
      </c>
    </row>
    <row r="234">
      <c r="A234" s="33" t="n"/>
      <c r="B234" s="16" t="n"/>
      <c r="C234" s="16" t="n"/>
      <c r="D234" s="16" t="n"/>
      <c r="E234" s="16" t="n"/>
      <c r="F234" s="34" t="n"/>
      <c r="G234" s="18" t="n"/>
      <c r="H234" s="35">
        <f>IF($F234="","",$F234*$G234/100)</f>
        <v/>
      </c>
      <c r="I234" s="18" t="n"/>
      <c r="J234" s="35">
        <f>IF($F234="","",$H234*$I234/100)</f>
        <v/>
      </c>
      <c r="K234" s="18" t="n"/>
      <c r="L234" s="35">
        <f>IF($F234="","",$F234*$K234/100)</f>
        <v/>
      </c>
      <c r="M234" s="20">
        <f>IF($A234="","",ROUNDUP(MONTH($A234)/3,0))</f>
        <v/>
      </c>
    </row>
    <row r="235">
      <c r="A235" s="33" t="n"/>
      <c r="B235" s="16" t="n"/>
      <c r="C235" s="16" t="n"/>
      <c r="D235" s="16" t="n"/>
      <c r="E235" s="16" t="n"/>
      <c r="F235" s="34" t="n"/>
      <c r="G235" s="18" t="n"/>
      <c r="H235" s="35">
        <f>IF($F235="","",$F235*$G235/100)</f>
        <v/>
      </c>
      <c r="I235" s="18" t="n"/>
      <c r="J235" s="35">
        <f>IF($F235="","",$H235*$I235/100)</f>
        <v/>
      </c>
      <c r="K235" s="18" t="n"/>
      <c r="L235" s="35">
        <f>IF($F235="","",$F235*$K235/100)</f>
        <v/>
      </c>
      <c r="M235" s="20">
        <f>IF($A235="","",ROUNDUP(MONTH($A235)/3,0))</f>
        <v/>
      </c>
    </row>
    <row r="236">
      <c r="A236" s="33" t="n"/>
      <c r="B236" s="16" t="n"/>
      <c r="C236" s="16" t="n"/>
      <c r="D236" s="16" t="n"/>
      <c r="E236" s="16" t="n"/>
      <c r="F236" s="34" t="n"/>
      <c r="G236" s="18" t="n"/>
      <c r="H236" s="35">
        <f>IF($F236="","",$F236*$G236/100)</f>
        <v/>
      </c>
      <c r="I236" s="18" t="n"/>
      <c r="J236" s="35">
        <f>IF($F236="","",$H236*$I236/100)</f>
        <v/>
      </c>
      <c r="K236" s="18" t="n"/>
      <c r="L236" s="35">
        <f>IF($F236="","",$F236*$K236/100)</f>
        <v/>
      </c>
      <c r="M236" s="20">
        <f>IF($A236="","",ROUNDUP(MONTH($A236)/3,0))</f>
        <v/>
      </c>
    </row>
    <row r="237">
      <c r="A237" s="33" t="n"/>
      <c r="B237" s="16" t="n"/>
      <c r="C237" s="16" t="n"/>
      <c r="D237" s="16" t="n"/>
      <c r="E237" s="16" t="n"/>
      <c r="F237" s="34" t="n"/>
      <c r="G237" s="18" t="n"/>
      <c r="H237" s="35">
        <f>IF($F237="","",$F237*$G237/100)</f>
        <v/>
      </c>
      <c r="I237" s="18" t="n"/>
      <c r="J237" s="35">
        <f>IF($F237="","",$H237*$I237/100)</f>
        <v/>
      </c>
      <c r="K237" s="18" t="n"/>
      <c r="L237" s="35">
        <f>IF($F237="","",$F237*$K237/100)</f>
        <v/>
      </c>
      <c r="M237" s="20">
        <f>IF($A237="","",ROUNDUP(MONTH($A237)/3,0))</f>
        <v/>
      </c>
    </row>
    <row r="238">
      <c r="A238" s="33" t="n"/>
      <c r="B238" s="16" t="n"/>
      <c r="C238" s="16" t="n"/>
      <c r="D238" s="16" t="n"/>
      <c r="E238" s="16" t="n"/>
      <c r="F238" s="34" t="n"/>
      <c r="G238" s="18" t="n"/>
      <c r="H238" s="35">
        <f>IF($F238="","",$F238*$G238/100)</f>
        <v/>
      </c>
      <c r="I238" s="18" t="n"/>
      <c r="J238" s="35">
        <f>IF($F238="","",$H238*$I238/100)</f>
        <v/>
      </c>
      <c r="K238" s="18" t="n"/>
      <c r="L238" s="35">
        <f>IF($F238="","",$F238*$K238/100)</f>
        <v/>
      </c>
      <c r="M238" s="20">
        <f>IF($A238="","",ROUNDUP(MONTH($A238)/3,0))</f>
        <v/>
      </c>
    </row>
    <row r="239">
      <c r="A239" s="33" t="n"/>
      <c r="B239" s="16" t="n"/>
      <c r="C239" s="16" t="n"/>
      <c r="D239" s="16" t="n"/>
      <c r="E239" s="16" t="n"/>
      <c r="F239" s="34" t="n"/>
      <c r="G239" s="18" t="n"/>
      <c r="H239" s="35">
        <f>IF($F239="","",$F239*$G239/100)</f>
        <v/>
      </c>
      <c r="I239" s="18" t="n"/>
      <c r="J239" s="35">
        <f>IF($F239="","",$H239*$I239/100)</f>
        <v/>
      </c>
      <c r="K239" s="18" t="n"/>
      <c r="L239" s="35">
        <f>IF($F239="","",$F239*$K239/100)</f>
        <v/>
      </c>
      <c r="M239" s="20">
        <f>IF($A239="","",ROUNDUP(MONTH($A239)/3,0))</f>
        <v/>
      </c>
    </row>
    <row r="240">
      <c r="A240" s="33" t="n"/>
      <c r="B240" s="16" t="n"/>
      <c r="C240" s="16" t="n"/>
      <c r="D240" s="16" t="n"/>
      <c r="E240" s="16" t="n"/>
      <c r="F240" s="34" t="n"/>
      <c r="G240" s="18" t="n"/>
      <c r="H240" s="35">
        <f>IF($F240="","",$F240*$G240/100)</f>
        <v/>
      </c>
      <c r="I240" s="18" t="n"/>
      <c r="J240" s="35">
        <f>IF($F240="","",$H240*$I240/100)</f>
        <v/>
      </c>
      <c r="K240" s="18" t="n"/>
      <c r="L240" s="35">
        <f>IF($F240="","",$F240*$K240/100)</f>
        <v/>
      </c>
      <c r="M240" s="20">
        <f>IF($A240="","",ROUNDUP(MONTH($A240)/3,0))</f>
        <v/>
      </c>
    </row>
    <row r="241">
      <c r="A241" s="33" t="n"/>
      <c r="B241" s="16" t="n"/>
      <c r="C241" s="16" t="n"/>
      <c r="D241" s="16" t="n"/>
      <c r="E241" s="16" t="n"/>
      <c r="F241" s="34" t="n"/>
      <c r="G241" s="18" t="n"/>
      <c r="H241" s="35">
        <f>IF($F241="","",$F241*$G241/100)</f>
        <v/>
      </c>
      <c r="I241" s="18" t="n"/>
      <c r="J241" s="35">
        <f>IF($F241="","",$H241*$I241/100)</f>
        <v/>
      </c>
      <c r="K241" s="18" t="n"/>
      <c r="L241" s="35">
        <f>IF($F241="","",$F241*$K241/100)</f>
        <v/>
      </c>
      <c r="M241" s="20">
        <f>IF($A241="","",ROUNDUP(MONTH($A241)/3,0))</f>
        <v/>
      </c>
    </row>
    <row r="242">
      <c r="A242" s="33" t="n"/>
      <c r="B242" s="16" t="n"/>
      <c r="C242" s="16" t="n"/>
      <c r="D242" s="16" t="n"/>
      <c r="E242" s="16" t="n"/>
      <c r="F242" s="34" t="n"/>
      <c r="G242" s="18" t="n"/>
      <c r="H242" s="35">
        <f>IF($F242="","",$F242*$G242/100)</f>
        <v/>
      </c>
      <c r="I242" s="18" t="n"/>
      <c r="J242" s="35">
        <f>IF($F242="","",$H242*$I242/100)</f>
        <v/>
      </c>
      <c r="K242" s="18" t="n"/>
      <c r="L242" s="35">
        <f>IF($F242="","",$F242*$K242/100)</f>
        <v/>
      </c>
      <c r="M242" s="20">
        <f>IF($A242="","",ROUNDUP(MONTH($A242)/3,0))</f>
        <v/>
      </c>
    </row>
    <row r="243">
      <c r="A243" s="33" t="n"/>
      <c r="B243" s="16" t="n"/>
      <c r="C243" s="16" t="n"/>
      <c r="D243" s="16" t="n"/>
      <c r="E243" s="16" t="n"/>
      <c r="F243" s="34" t="n"/>
      <c r="G243" s="18" t="n"/>
      <c r="H243" s="35">
        <f>IF($F243="","",$F243*$G243/100)</f>
        <v/>
      </c>
      <c r="I243" s="18" t="n"/>
      <c r="J243" s="35">
        <f>IF($F243="","",$H243*$I243/100)</f>
        <v/>
      </c>
      <c r="K243" s="18" t="n"/>
      <c r="L243" s="35">
        <f>IF($F243="","",$F243*$K243/100)</f>
        <v/>
      </c>
      <c r="M243" s="20">
        <f>IF($A243="","",ROUNDUP(MONTH($A243)/3,0))</f>
        <v/>
      </c>
    </row>
    <row r="244">
      <c r="A244" s="33" t="n"/>
      <c r="B244" s="16" t="n"/>
      <c r="C244" s="16" t="n"/>
      <c r="D244" s="16" t="n"/>
      <c r="E244" s="16" t="n"/>
      <c r="F244" s="34" t="n"/>
      <c r="G244" s="18" t="n"/>
      <c r="H244" s="35">
        <f>IF($F244="","",$F244*$G244/100)</f>
        <v/>
      </c>
      <c r="I244" s="18" t="n"/>
      <c r="J244" s="35">
        <f>IF($F244="","",$H244*$I244/100)</f>
        <v/>
      </c>
      <c r="K244" s="18" t="n"/>
      <c r="L244" s="35">
        <f>IF($F244="","",$F244*$K244/100)</f>
        <v/>
      </c>
      <c r="M244" s="20">
        <f>IF($A244="","",ROUNDUP(MONTH($A244)/3,0))</f>
        <v/>
      </c>
    </row>
    <row r="245">
      <c r="A245" s="33" t="n"/>
      <c r="B245" s="16" t="n"/>
      <c r="C245" s="16" t="n"/>
      <c r="D245" s="16" t="n"/>
      <c r="E245" s="16" t="n"/>
      <c r="F245" s="34" t="n"/>
      <c r="G245" s="18" t="n"/>
      <c r="H245" s="35">
        <f>IF($F245="","",$F245*$G245/100)</f>
        <v/>
      </c>
      <c r="I245" s="18" t="n"/>
      <c r="J245" s="35">
        <f>IF($F245="","",$H245*$I245/100)</f>
        <v/>
      </c>
      <c r="K245" s="18" t="n"/>
      <c r="L245" s="35">
        <f>IF($F245="","",$F245*$K245/100)</f>
        <v/>
      </c>
      <c r="M245" s="20">
        <f>IF($A245="","",ROUNDUP(MONTH($A245)/3,0))</f>
        <v/>
      </c>
    </row>
    <row r="246">
      <c r="A246" s="33" t="n"/>
      <c r="B246" s="16" t="n"/>
      <c r="C246" s="16" t="n"/>
      <c r="D246" s="16" t="n"/>
      <c r="E246" s="16" t="n"/>
      <c r="F246" s="34" t="n"/>
      <c r="G246" s="18" t="n"/>
      <c r="H246" s="35">
        <f>IF($F246="","",$F246*$G246/100)</f>
        <v/>
      </c>
      <c r="I246" s="18" t="n"/>
      <c r="J246" s="35">
        <f>IF($F246="","",$H246*$I246/100)</f>
        <v/>
      </c>
      <c r="K246" s="18" t="n"/>
      <c r="L246" s="35">
        <f>IF($F246="","",$F246*$K246/100)</f>
        <v/>
      </c>
      <c r="M246" s="20">
        <f>IF($A246="","",ROUNDUP(MONTH($A246)/3,0))</f>
        <v/>
      </c>
    </row>
    <row r="247">
      <c r="A247" s="33" t="n"/>
      <c r="B247" s="16" t="n"/>
      <c r="C247" s="16" t="n"/>
      <c r="D247" s="16" t="n"/>
      <c r="E247" s="16" t="n"/>
      <c r="F247" s="34" t="n"/>
      <c r="G247" s="18" t="n"/>
      <c r="H247" s="35">
        <f>IF($F247="","",$F247*$G247/100)</f>
        <v/>
      </c>
      <c r="I247" s="18" t="n"/>
      <c r="J247" s="35">
        <f>IF($F247="","",$H247*$I247/100)</f>
        <v/>
      </c>
      <c r="K247" s="18" t="n"/>
      <c r="L247" s="35">
        <f>IF($F247="","",$F247*$K247/100)</f>
        <v/>
      </c>
      <c r="M247" s="20">
        <f>IF($A247="","",ROUNDUP(MONTH($A247)/3,0))</f>
        <v/>
      </c>
    </row>
    <row r="248">
      <c r="A248" s="33" t="n"/>
      <c r="B248" s="16" t="n"/>
      <c r="C248" s="16" t="n"/>
      <c r="D248" s="16" t="n"/>
      <c r="E248" s="16" t="n"/>
      <c r="F248" s="34" t="n"/>
      <c r="G248" s="18" t="n"/>
      <c r="H248" s="35">
        <f>IF($F248="","",$F248*$G248/100)</f>
        <v/>
      </c>
      <c r="I248" s="18" t="n"/>
      <c r="J248" s="35">
        <f>IF($F248="","",$H248*$I248/100)</f>
        <v/>
      </c>
      <c r="K248" s="18" t="n"/>
      <c r="L248" s="35">
        <f>IF($F248="","",$F248*$K248/100)</f>
        <v/>
      </c>
      <c r="M248" s="20">
        <f>IF($A248="","",ROUNDUP(MONTH($A248)/3,0))</f>
        <v/>
      </c>
    </row>
    <row r="249">
      <c r="A249" s="33" t="n"/>
      <c r="B249" s="16" t="n"/>
      <c r="C249" s="16" t="n"/>
      <c r="D249" s="16" t="n"/>
      <c r="E249" s="16" t="n"/>
      <c r="F249" s="34" t="n"/>
      <c r="G249" s="18" t="n"/>
      <c r="H249" s="35">
        <f>IF($F249="","",$F249*$G249/100)</f>
        <v/>
      </c>
      <c r="I249" s="18" t="n"/>
      <c r="J249" s="35">
        <f>IF($F249="","",$H249*$I249/100)</f>
        <v/>
      </c>
      <c r="K249" s="18" t="n"/>
      <c r="L249" s="35">
        <f>IF($F249="","",$F249*$K249/100)</f>
        <v/>
      </c>
      <c r="M249" s="20">
        <f>IF($A249="","",ROUNDUP(MONTH($A249)/3,0))</f>
        <v/>
      </c>
    </row>
    <row r="250">
      <c r="A250" s="33" t="n"/>
      <c r="B250" s="16" t="n"/>
      <c r="C250" s="16" t="n"/>
      <c r="D250" s="16" t="n"/>
      <c r="E250" s="16" t="n"/>
      <c r="F250" s="34" t="n"/>
      <c r="G250" s="18" t="n"/>
      <c r="H250" s="35">
        <f>IF($F250="","",$F250*$G250/100)</f>
        <v/>
      </c>
      <c r="I250" s="18" t="n"/>
      <c r="J250" s="35">
        <f>IF($F250="","",$H250*$I250/100)</f>
        <v/>
      </c>
      <c r="K250" s="18" t="n"/>
      <c r="L250" s="35">
        <f>IF($F250="","",$F250*$K250/100)</f>
        <v/>
      </c>
      <c r="M250" s="20">
        <f>IF($A250="","",ROUNDUP(MONTH($A250)/3,0))</f>
        <v/>
      </c>
    </row>
    <row r="251">
      <c r="A251" s="33" t="n"/>
      <c r="B251" s="16" t="n"/>
      <c r="C251" s="16" t="n"/>
      <c r="D251" s="16" t="n"/>
      <c r="E251" s="16" t="n"/>
      <c r="F251" s="34" t="n"/>
      <c r="G251" s="18" t="n"/>
      <c r="H251" s="35">
        <f>IF($F251="","",$F251*$G251/100)</f>
        <v/>
      </c>
      <c r="I251" s="18" t="n"/>
      <c r="J251" s="35">
        <f>IF($F251="","",$H251*$I251/100)</f>
        <v/>
      </c>
      <c r="K251" s="18" t="n"/>
      <c r="L251" s="35">
        <f>IF($F251="","",$F251*$K251/100)</f>
        <v/>
      </c>
      <c r="M251" s="20">
        <f>IF($A251="","",ROUNDUP(MONTH($A251)/3,0))</f>
        <v/>
      </c>
    </row>
    <row r="252">
      <c r="A252" s="33" t="n"/>
      <c r="B252" s="16" t="n"/>
      <c r="C252" s="16" t="n"/>
      <c r="D252" s="16" t="n"/>
      <c r="E252" s="16" t="n"/>
      <c r="F252" s="34" t="n"/>
      <c r="G252" s="18" t="n"/>
      <c r="H252" s="35">
        <f>IF($F252="","",$F252*$G252/100)</f>
        <v/>
      </c>
      <c r="I252" s="18" t="n"/>
      <c r="J252" s="35">
        <f>IF($F252="","",$H252*$I252/100)</f>
        <v/>
      </c>
      <c r="K252" s="18" t="n"/>
      <c r="L252" s="35">
        <f>IF($F252="","",$F252*$K252/100)</f>
        <v/>
      </c>
      <c r="M252" s="20">
        <f>IF($A252="","",ROUNDUP(MONTH($A252)/3,0))</f>
        <v/>
      </c>
    </row>
    <row r="253">
      <c r="A253" s="33" t="n"/>
      <c r="B253" s="16" t="n"/>
      <c r="C253" s="16" t="n"/>
      <c r="D253" s="16" t="n"/>
      <c r="E253" s="16" t="n"/>
      <c r="F253" s="34" t="n"/>
      <c r="G253" s="18" t="n"/>
      <c r="H253" s="35">
        <f>IF($F253="","",$F253*$G253/100)</f>
        <v/>
      </c>
      <c r="I253" s="18" t="n"/>
      <c r="J253" s="35">
        <f>IF($F253="","",$H253*$I253/100)</f>
        <v/>
      </c>
      <c r="K253" s="18" t="n"/>
      <c r="L253" s="35">
        <f>IF($F253="","",$F253*$K253/100)</f>
        <v/>
      </c>
      <c r="M253" s="20">
        <f>IF($A253="","",ROUNDUP(MONTH($A253)/3,0))</f>
        <v/>
      </c>
    </row>
    <row r="254">
      <c r="A254" s="33" t="n"/>
      <c r="B254" s="16" t="n"/>
      <c r="C254" s="16" t="n"/>
      <c r="D254" s="16" t="n"/>
      <c r="E254" s="16" t="n"/>
      <c r="F254" s="34" t="n"/>
      <c r="G254" s="18" t="n"/>
      <c r="H254" s="35">
        <f>IF($F254="","",$F254*$G254/100)</f>
        <v/>
      </c>
      <c r="I254" s="18" t="n"/>
      <c r="J254" s="35">
        <f>IF($F254="","",$H254*$I254/100)</f>
        <v/>
      </c>
      <c r="K254" s="18" t="n"/>
      <c r="L254" s="35">
        <f>IF($F254="","",$F254*$K254/100)</f>
        <v/>
      </c>
      <c r="M254" s="20">
        <f>IF($A254="","",ROUNDUP(MONTH($A254)/3,0))</f>
        <v/>
      </c>
    </row>
    <row r="255">
      <c r="A255" s="33" t="n"/>
      <c r="B255" s="16" t="n"/>
      <c r="C255" s="16" t="n"/>
      <c r="D255" s="16" t="n"/>
      <c r="E255" s="16" t="n"/>
      <c r="F255" s="34" t="n"/>
      <c r="G255" s="18" t="n"/>
      <c r="H255" s="35">
        <f>IF($F255="","",$F255*$G255/100)</f>
        <v/>
      </c>
      <c r="I255" s="18" t="n"/>
      <c r="J255" s="35">
        <f>IF($F255="","",$H255*$I255/100)</f>
        <v/>
      </c>
      <c r="K255" s="18" t="n"/>
      <c r="L255" s="35">
        <f>IF($F255="","",$F255*$K255/100)</f>
        <v/>
      </c>
      <c r="M255" s="20">
        <f>IF($A255="","",ROUNDUP(MONTH($A255)/3,0))</f>
        <v/>
      </c>
    </row>
    <row r="256">
      <c r="A256" s="33" t="n"/>
      <c r="B256" s="16" t="n"/>
      <c r="C256" s="16" t="n"/>
      <c r="D256" s="16" t="n"/>
      <c r="E256" s="16" t="n"/>
      <c r="F256" s="34" t="n"/>
      <c r="G256" s="18" t="n"/>
      <c r="H256" s="35">
        <f>IF($F256="","",$F256*$G256/100)</f>
        <v/>
      </c>
      <c r="I256" s="18" t="n"/>
      <c r="J256" s="35">
        <f>IF($F256="","",$H256*$I256/100)</f>
        <v/>
      </c>
      <c r="K256" s="18" t="n"/>
      <c r="L256" s="35">
        <f>IF($F256="","",$F256*$K256/100)</f>
        <v/>
      </c>
      <c r="M256" s="20">
        <f>IF($A256="","",ROUNDUP(MONTH($A256)/3,0))</f>
        <v/>
      </c>
    </row>
    <row r="257">
      <c r="A257" s="33" t="n"/>
      <c r="B257" s="16" t="n"/>
      <c r="C257" s="16" t="n"/>
      <c r="D257" s="16" t="n"/>
      <c r="E257" s="16" t="n"/>
      <c r="F257" s="34" t="n"/>
      <c r="G257" s="18" t="n"/>
      <c r="H257" s="35">
        <f>IF($F257="","",$F257*$G257/100)</f>
        <v/>
      </c>
      <c r="I257" s="18" t="n"/>
      <c r="J257" s="35">
        <f>IF($F257="","",$H257*$I257/100)</f>
        <v/>
      </c>
      <c r="K257" s="18" t="n"/>
      <c r="L257" s="35">
        <f>IF($F257="","",$F257*$K257/100)</f>
        <v/>
      </c>
      <c r="M257" s="20">
        <f>IF($A257="","",ROUNDUP(MONTH($A257)/3,0))</f>
        <v/>
      </c>
    </row>
    <row r="258">
      <c r="A258" s="33" t="n"/>
      <c r="B258" s="16" t="n"/>
      <c r="C258" s="16" t="n"/>
      <c r="D258" s="16" t="n"/>
      <c r="E258" s="16" t="n"/>
      <c r="F258" s="34" t="n"/>
      <c r="G258" s="18" t="n"/>
      <c r="H258" s="35">
        <f>IF($F258="","",$F258*$G258/100)</f>
        <v/>
      </c>
      <c r="I258" s="18" t="n"/>
      <c r="J258" s="35">
        <f>IF($F258="","",$H258*$I258/100)</f>
        <v/>
      </c>
      <c r="K258" s="18" t="n"/>
      <c r="L258" s="35">
        <f>IF($F258="","",$F258*$K258/100)</f>
        <v/>
      </c>
      <c r="M258" s="20">
        <f>IF($A258="","",ROUNDUP(MONTH($A258)/3,0))</f>
        <v/>
      </c>
    </row>
    <row r="259">
      <c r="A259" s="33" t="n"/>
      <c r="B259" s="16" t="n"/>
      <c r="C259" s="16" t="n"/>
      <c r="D259" s="16" t="n"/>
      <c r="E259" s="16" t="n"/>
      <c r="F259" s="34" t="n"/>
      <c r="G259" s="18" t="n"/>
      <c r="H259" s="35">
        <f>IF($F259="","",$F259*$G259/100)</f>
        <v/>
      </c>
      <c r="I259" s="18" t="n"/>
      <c r="J259" s="35">
        <f>IF($F259="","",$H259*$I259/100)</f>
        <v/>
      </c>
      <c r="K259" s="18" t="n"/>
      <c r="L259" s="35">
        <f>IF($F259="","",$F259*$K259/100)</f>
        <v/>
      </c>
      <c r="M259" s="20">
        <f>IF($A259="","",ROUNDUP(MONTH($A259)/3,0))</f>
        <v/>
      </c>
    </row>
    <row r="260">
      <c r="A260" s="33" t="n"/>
      <c r="B260" s="16" t="n"/>
      <c r="C260" s="16" t="n"/>
      <c r="D260" s="16" t="n"/>
      <c r="E260" s="16" t="n"/>
      <c r="F260" s="34" t="n"/>
      <c r="G260" s="18" t="n"/>
      <c r="H260" s="35">
        <f>IF($F260="","",$F260*$G260/100)</f>
        <v/>
      </c>
      <c r="I260" s="18" t="n"/>
      <c r="J260" s="35">
        <f>IF($F260="","",$H260*$I260/100)</f>
        <v/>
      </c>
      <c r="K260" s="18" t="n"/>
      <c r="L260" s="35">
        <f>IF($F260="","",$F260*$K260/100)</f>
        <v/>
      </c>
      <c r="M260" s="20">
        <f>IF($A260="","",ROUNDUP(MONTH($A260)/3,0))</f>
        <v/>
      </c>
    </row>
    <row r="261">
      <c r="A261" s="33" t="n"/>
      <c r="B261" s="16" t="n"/>
      <c r="C261" s="16" t="n"/>
      <c r="D261" s="16" t="n"/>
      <c r="E261" s="16" t="n"/>
      <c r="F261" s="34" t="n"/>
      <c r="G261" s="18" t="n"/>
      <c r="H261" s="35">
        <f>IF($F261="","",$F261*$G261/100)</f>
        <v/>
      </c>
      <c r="I261" s="18" t="n"/>
      <c r="J261" s="35">
        <f>IF($F261="","",$H261*$I261/100)</f>
        <v/>
      </c>
      <c r="K261" s="18" t="n"/>
      <c r="L261" s="35">
        <f>IF($F261="","",$F261*$K261/100)</f>
        <v/>
      </c>
      <c r="M261" s="20">
        <f>IF($A261="","",ROUNDUP(MONTH($A261)/3,0))</f>
        <v/>
      </c>
    </row>
    <row r="262">
      <c r="A262" s="33" t="n"/>
      <c r="B262" s="16" t="n"/>
      <c r="C262" s="16" t="n"/>
      <c r="D262" s="16" t="n"/>
      <c r="E262" s="16" t="n"/>
      <c r="F262" s="34" t="n"/>
      <c r="G262" s="18" t="n"/>
      <c r="H262" s="35">
        <f>IF($F262="","",$F262*$G262/100)</f>
        <v/>
      </c>
      <c r="I262" s="18" t="n"/>
      <c r="J262" s="35">
        <f>IF($F262="","",$H262*$I262/100)</f>
        <v/>
      </c>
      <c r="K262" s="18" t="n"/>
      <c r="L262" s="35">
        <f>IF($F262="","",$F262*$K262/100)</f>
        <v/>
      </c>
      <c r="M262" s="20">
        <f>IF($A262="","",ROUNDUP(MONTH($A262)/3,0))</f>
        <v/>
      </c>
    </row>
    <row r="263">
      <c r="A263" s="33" t="n"/>
      <c r="B263" s="16" t="n"/>
      <c r="C263" s="16" t="n"/>
      <c r="D263" s="16" t="n"/>
      <c r="E263" s="16" t="n"/>
      <c r="F263" s="34" t="n"/>
      <c r="G263" s="18" t="n"/>
      <c r="H263" s="35">
        <f>IF($F263="","",$F263*$G263/100)</f>
        <v/>
      </c>
      <c r="I263" s="18" t="n"/>
      <c r="J263" s="35">
        <f>IF($F263="","",$H263*$I263/100)</f>
        <v/>
      </c>
      <c r="K263" s="18" t="n"/>
      <c r="L263" s="35">
        <f>IF($F263="","",$F263*$K263/100)</f>
        <v/>
      </c>
      <c r="M263" s="20">
        <f>IF($A263="","",ROUNDUP(MONTH($A263)/3,0))</f>
        <v/>
      </c>
    </row>
    <row r="264">
      <c r="A264" s="33" t="n"/>
      <c r="B264" s="16" t="n"/>
      <c r="C264" s="16" t="n"/>
      <c r="D264" s="16" t="n"/>
      <c r="E264" s="16" t="n"/>
      <c r="F264" s="34" t="n"/>
      <c r="G264" s="18" t="n"/>
      <c r="H264" s="35">
        <f>IF($F264="","",$F264*$G264/100)</f>
        <v/>
      </c>
      <c r="I264" s="18" t="n"/>
      <c r="J264" s="35">
        <f>IF($F264="","",$H264*$I264/100)</f>
        <v/>
      </c>
      <c r="K264" s="18" t="n"/>
      <c r="L264" s="35">
        <f>IF($F264="","",$F264*$K264/100)</f>
        <v/>
      </c>
      <c r="M264" s="20">
        <f>IF($A264="","",ROUNDUP(MONTH($A264)/3,0))</f>
        <v/>
      </c>
    </row>
    <row r="265">
      <c r="A265" s="33" t="n"/>
      <c r="B265" s="16" t="n"/>
      <c r="C265" s="16" t="n"/>
      <c r="D265" s="16" t="n"/>
      <c r="E265" s="16" t="n"/>
      <c r="F265" s="34" t="n"/>
      <c r="G265" s="18" t="n"/>
      <c r="H265" s="35">
        <f>IF($F265="","",$F265*$G265/100)</f>
        <v/>
      </c>
      <c r="I265" s="18" t="n"/>
      <c r="J265" s="35">
        <f>IF($F265="","",$H265*$I265/100)</f>
        <v/>
      </c>
      <c r="K265" s="18" t="n"/>
      <c r="L265" s="35">
        <f>IF($F265="","",$F265*$K265/100)</f>
        <v/>
      </c>
      <c r="M265" s="20">
        <f>IF($A265="","",ROUNDUP(MONTH($A265)/3,0))</f>
        <v/>
      </c>
    </row>
    <row r="266">
      <c r="A266" s="33" t="n"/>
      <c r="B266" s="16" t="n"/>
      <c r="C266" s="16" t="n"/>
      <c r="D266" s="16" t="n"/>
      <c r="E266" s="16" t="n"/>
      <c r="F266" s="34" t="n"/>
      <c r="G266" s="18" t="n"/>
      <c r="H266" s="35">
        <f>IF($F266="","",$F266*$G266/100)</f>
        <v/>
      </c>
      <c r="I266" s="18" t="n"/>
      <c r="J266" s="35">
        <f>IF($F266="","",$H266*$I266/100)</f>
        <v/>
      </c>
      <c r="K266" s="18" t="n"/>
      <c r="L266" s="35">
        <f>IF($F266="","",$F266*$K266/100)</f>
        <v/>
      </c>
      <c r="M266" s="20">
        <f>IF($A266="","",ROUNDUP(MONTH($A266)/3,0))</f>
        <v/>
      </c>
    </row>
    <row r="267">
      <c r="A267" s="33" t="n"/>
      <c r="B267" s="16" t="n"/>
      <c r="C267" s="16" t="n"/>
      <c r="D267" s="16" t="n"/>
      <c r="E267" s="16" t="n"/>
      <c r="F267" s="34" t="n"/>
      <c r="G267" s="18" t="n"/>
      <c r="H267" s="35">
        <f>IF($F267="","",$F267*$G267/100)</f>
        <v/>
      </c>
      <c r="I267" s="18" t="n"/>
      <c r="J267" s="35">
        <f>IF($F267="","",$H267*$I267/100)</f>
        <v/>
      </c>
      <c r="K267" s="18" t="n"/>
      <c r="L267" s="35">
        <f>IF($F267="","",$F267*$K267/100)</f>
        <v/>
      </c>
      <c r="M267" s="20">
        <f>IF($A267="","",ROUNDUP(MONTH($A267)/3,0))</f>
        <v/>
      </c>
    </row>
    <row r="268">
      <c r="A268" s="33" t="n"/>
      <c r="B268" s="16" t="n"/>
      <c r="C268" s="16" t="n"/>
      <c r="D268" s="16" t="n"/>
      <c r="E268" s="16" t="n"/>
      <c r="F268" s="34" t="n"/>
      <c r="G268" s="18" t="n"/>
      <c r="H268" s="35">
        <f>IF($F268="","",$F268*$G268/100)</f>
        <v/>
      </c>
      <c r="I268" s="18" t="n"/>
      <c r="J268" s="35">
        <f>IF($F268="","",$H268*$I268/100)</f>
        <v/>
      </c>
      <c r="K268" s="18" t="n"/>
      <c r="L268" s="35">
        <f>IF($F268="","",$F268*$K268/100)</f>
        <v/>
      </c>
      <c r="M268" s="20">
        <f>IF($A268="","",ROUNDUP(MONTH($A268)/3,0))</f>
        <v/>
      </c>
    </row>
    <row r="269">
      <c r="A269" s="33" t="n"/>
      <c r="B269" s="16" t="n"/>
      <c r="C269" s="16" t="n"/>
      <c r="D269" s="16" t="n"/>
      <c r="E269" s="16" t="n"/>
      <c r="F269" s="34" t="n"/>
      <c r="G269" s="18" t="n"/>
      <c r="H269" s="35">
        <f>IF($F269="","",$F269*$G269/100)</f>
        <v/>
      </c>
      <c r="I269" s="18" t="n"/>
      <c r="J269" s="35">
        <f>IF($F269="","",$H269*$I269/100)</f>
        <v/>
      </c>
      <c r="K269" s="18" t="n"/>
      <c r="L269" s="35">
        <f>IF($F269="","",$F269*$K269/100)</f>
        <v/>
      </c>
      <c r="M269" s="20">
        <f>IF($A269="","",ROUNDUP(MONTH($A269)/3,0))</f>
        <v/>
      </c>
    </row>
    <row r="270">
      <c r="A270" s="33" t="n"/>
      <c r="B270" s="16" t="n"/>
      <c r="C270" s="16" t="n"/>
      <c r="D270" s="16" t="n"/>
      <c r="E270" s="16" t="n"/>
      <c r="F270" s="34" t="n"/>
      <c r="G270" s="18" t="n"/>
      <c r="H270" s="35">
        <f>IF($F270="","",$F270*$G270/100)</f>
        <v/>
      </c>
      <c r="I270" s="18" t="n"/>
      <c r="J270" s="35">
        <f>IF($F270="","",$H270*$I270/100)</f>
        <v/>
      </c>
      <c r="K270" s="18" t="n"/>
      <c r="L270" s="35">
        <f>IF($F270="","",$F270*$K270/100)</f>
        <v/>
      </c>
      <c r="M270" s="20">
        <f>IF($A270="","",ROUNDUP(MONTH($A270)/3,0))</f>
        <v/>
      </c>
    </row>
    <row r="271">
      <c r="A271" s="33" t="n"/>
      <c r="B271" s="16" t="n"/>
      <c r="C271" s="16" t="n"/>
      <c r="D271" s="16" t="n"/>
      <c r="E271" s="16" t="n"/>
      <c r="F271" s="34" t="n"/>
      <c r="G271" s="18" t="n"/>
      <c r="H271" s="35">
        <f>IF($F271="","",$F271*$G271/100)</f>
        <v/>
      </c>
      <c r="I271" s="18" t="n"/>
      <c r="J271" s="35">
        <f>IF($F271="","",$H271*$I271/100)</f>
        <v/>
      </c>
      <c r="K271" s="18" t="n"/>
      <c r="L271" s="35">
        <f>IF($F271="","",$F271*$K271/100)</f>
        <v/>
      </c>
      <c r="M271" s="20">
        <f>IF($A271="","",ROUNDUP(MONTH($A271)/3,0))</f>
        <v/>
      </c>
    </row>
    <row r="272">
      <c r="A272" s="33" t="n"/>
      <c r="B272" s="16" t="n"/>
      <c r="C272" s="16" t="n"/>
      <c r="D272" s="16" t="n"/>
      <c r="E272" s="16" t="n"/>
      <c r="F272" s="34" t="n"/>
      <c r="G272" s="18" t="n"/>
      <c r="H272" s="35">
        <f>IF($F272="","",$F272*$G272/100)</f>
        <v/>
      </c>
      <c r="I272" s="18" t="n"/>
      <c r="J272" s="35">
        <f>IF($F272="","",$H272*$I272/100)</f>
        <v/>
      </c>
      <c r="K272" s="18" t="n"/>
      <c r="L272" s="35">
        <f>IF($F272="","",$F272*$K272/100)</f>
        <v/>
      </c>
      <c r="M272" s="20">
        <f>IF($A272="","",ROUNDUP(MONTH($A272)/3,0))</f>
        <v/>
      </c>
    </row>
    <row r="273">
      <c r="A273" s="33" t="n"/>
      <c r="B273" s="16" t="n"/>
      <c r="C273" s="16" t="n"/>
      <c r="D273" s="16" t="n"/>
      <c r="E273" s="16" t="n"/>
      <c r="F273" s="34" t="n"/>
      <c r="G273" s="18" t="n"/>
      <c r="H273" s="35">
        <f>IF($F273="","",$F273*$G273/100)</f>
        <v/>
      </c>
      <c r="I273" s="18" t="n"/>
      <c r="J273" s="35">
        <f>IF($F273="","",$H273*$I273/100)</f>
        <v/>
      </c>
      <c r="K273" s="18" t="n"/>
      <c r="L273" s="35">
        <f>IF($F273="","",$F273*$K273/100)</f>
        <v/>
      </c>
      <c r="M273" s="20">
        <f>IF($A273="","",ROUNDUP(MONTH($A273)/3,0))</f>
        <v/>
      </c>
    </row>
    <row r="274">
      <c r="A274" s="33" t="n"/>
      <c r="B274" s="16" t="n"/>
      <c r="C274" s="16" t="n"/>
      <c r="D274" s="16" t="n"/>
      <c r="E274" s="16" t="n"/>
      <c r="F274" s="34" t="n"/>
      <c r="G274" s="18" t="n"/>
      <c r="H274" s="35">
        <f>IF($F274="","",$F274*$G274/100)</f>
        <v/>
      </c>
      <c r="I274" s="18" t="n"/>
      <c r="J274" s="35">
        <f>IF($F274="","",$H274*$I274/100)</f>
        <v/>
      </c>
      <c r="K274" s="18" t="n"/>
      <c r="L274" s="35">
        <f>IF($F274="","",$F274*$K274/100)</f>
        <v/>
      </c>
      <c r="M274" s="20">
        <f>IF($A274="","",ROUNDUP(MONTH($A274)/3,0))</f>
        <v/>
      </c>
    </row>
    <row r="275">
      <c r="A275" s="33" t="n"/>
      <c r="B275" s="16" t="n"/>
      <c r="C275" s="16" t="n"/>
      <c r="D275" s="16" t="n"/>
      <c r="E275" s="16" t="n"/>
      <c r="F275" s="34" t="n"/>
      <c r="G275" s="18" t="n"/>
      <c r="H275" s="35">
        <f>IF($F275="","",$F275*$G275/100)</f>
        <v/>
      </c>
      <c r="I275" s="18" t="n"/>
      <c r="J275" s="35">
        <f>IF($F275="","",$H275*$I275/100)</f>
        <v/>
      </c>
      <c r="K275" s="18" t="n"/>
      <c r="L275" s="35">
        <f>IF($F275="","",$F275*$K275/100)</f>
        <v/>
      </c>
      <c r="M275" s="20">
        <f>IF($A275="","",ROUNDUP(MONTH($A275)/3,0))</f>
        <v/>
      </c>
    </row>
    <row r="276">
      <c r="A276" s="33" t="n"/>
      <c r="B276" s="16" t="n"/>
      <c r="C276" s="16" t="n"/>
      <c r="D276" s="16" t="n"/>
      <c r="E276" s="16" t="n"/>
      <c r="F276" s="34" t="n"/>
      <c r="G276" s="18" t="n"/>
      <c r="H276" s="35">
        <f>IF($F276="","",$F276*$G276/100)</f>
        <v/>
      </c>
      <c r="I276" s="18" t="n"/>
      <c r="J276" s="35">
        <f>IF($F276="","",$H276*$I276/100)</f>
        <v/>
      </c>
      <c r="K276" s="18" t="n"/>
      <c r="L276" s="35">
        <f>IF($F276="","",$F276*$K276/100)</f>
        <v/>
      </c>
      <c r="M276" s="20">
        <f>IF($A276="","",ROUNDUP(MONTH($A276)/3,0))</f>
        <v/>
      </c>
    </row>
    <row r="277">
      <c r="A277" s="33" t="n"/>
      <c r="B277" s="16" t="n"/>
      <c r="C277" s="16" t="n"/>
      <c r="D277" s="16" t="n"/>
      <c r="E277" s="16" t="n"/>
      <c r="F277" s="34" t="n"/>
      <c r="G277" s="18" t="n"/>
      <c r="H277" s="35">
        <f>IF($F277="","",$F277*$G277/100)</f>
        <v/>
      </c>
      <c r="I277" s="18" t="n"/>
      <c r="J277" s="35">
        <f>IF($F277="","",$H277*$I277/100)</f>
        <v/>
      </c>
      <c r="K277" s="18" t="n"/>
      <c r="L277" s="35">
        <f>IF($F277="","",$F277*$K277/100)</f>
        <v/>
      </c>
      <c r="M277" s="20">
        <f>IF($A277="","",ROUNDUP(MONTH($A277)/3,0))</f>
        <v/>
      </c>
    </row>
    <row r="278">
      <c r="A278" s="33" t="n"/>
      <c r="B278" s="16" t="n"/>
      <c r="C278" s="16" t="n"/>
      <c r="D278" s="16" t="n"/>
      <c r="E278" s="16" t="n"/>
      <c r="F278" s="34" t="n"/>
      <c r="G278" s="18" t="n"/>
      <c r="H278" s="35">
        <f>IF($F278="","",$F278*$G278/100)</f>
        <v/>
      </c>
      <c r="I278" s="18" t="n"/>
      <c r="J278" s="35">
        <f>IF($F278="","",$H278*$I278/100)</f>
        <v/>
      </c>
      <c r="K278" s="18" t="n"/>
      <c r="L278" s="35">
        <f>IF($F278="","",$F278*$K278/100)</f>
        <v/>
      </c>
      <c r="M278" s="20">
        <f>IF($A278="","",ROUNDUP(MONTH($A278)/3,0))</f>
        <v/>
      </c>
    </row>
    <row r="279">
      <c r="A279" s="33" t="n"/>
      <c r="B279" s="16" t="n"/>
      <c r="C279" s="16" t="n"/>
      <c r="D279" s="16" t="n"/>
      <c r="E279" s="16" t="n"/>
      <c r="F279" s="34" t="n"/>
      <c r="G279" s="18" t="n"/>
      <c r="H279" s="35">
        <f>IF($F279="","",$F279*$G279/100)</f>
        <v/>
      </c>
      <c r="I279" s="18" t="n"/>
      <c r="J279" s="35">
        <f>IF($F279="","",$H279*$I279/100)</f>
        <v/>
      </c>
      <c r="K279" s="18" t="n"/>
      <c r="L279" s="35">
        <f>IF($F279="","",$F279*$K279/100)</f>
        <v/>
      </c>
      <c r="M279" s="20">
        <f>IF($A279="","",ROUNDUP(MONTH($A279)/3,0))</f>
        <v/>
      </c>
    </row>
    <row r="280">
      <c r="A280" s="33" t="n"/>
      <c r="B280" s="16" t="n"/>
      <c r="C280" s="16" t="n"/>
      <c r="D280" s="16" t="n"/>
      <c r="E280" s="16" t="n"/>
      <c r="F280" s="34" t="n"/>
      <c r="G280" s="18" t="n"/>
      <c r="H280" s="35">
        <f>IF($F280="","",$F280*$G280/100)</f>
        <v/>
      </c>
      <c r="I280" s="18" t="n"/>
      <c r="J280" s="35">
        <f>IF($F280="","",$H280*$I280/100)</f>
        <v/>
      </c>
      <c r="K280" s="18" t="n"/>
      <c r="L280" s="35">
        <f>IF($F280="","",$F280*$K280/100)</f>
        <v/>
      </c>
      <c r="M280" s="20">
        <f>IF($A280="","",ROUNDUP(MONTH($A280)/3,0))</f>
        <v/>
      </c>
    </row>
    <row r="281">
      <c r="A281" s="33" t="n"/>
      <c r="B281" s="16" t="n"/>
      <c r="C281" s="16" t="n"/>
      <c r="D281" s="16" t="n"/>
      <c r="E281" s="16" t="n"/>
      <c r="F281" s="34" t="n"/>
      <c r="G281" s="18" t="n"/>
      <c r="H281" s="35">
        <f>IF($F281="","",$F281*$G281/100)</f>
        <v/>
      </c>
      <c r="I281" s="18" t="n"/>
      <c r="J281" s="35">
        <f>IF($F281="","",$H281*$I281/100)</f>
        <v/>
      </c>
      <c r="K281" s="18" t="n"/>
      <c r="L281" s="35">
        <f>IF($F281="","",$F281*$K281/100)</f>
        <v/>
      </c>
      <c r="M281" s="20">
        <f>IF($A281="","",ROUNDUP(MONTH($A281)/3,0))</f>
        <v/>
      </c>
    </row>
    <row r="282">
      <c r="A282" s="33" t="n"/>
      <c r="B282" s="16" t="n"/>
      <c r="C282" s="16" t="n"/>
      <c r="D282" s="16" t="n"/>
      <c r="E282" s="16" t="n"/>
      <c r="F282" s="34" t="n"/>
      <c r="G282" s="18" t="n"/>
      <c r="H282" s="35">
        <f>IF($F282="","",$F282*$G282/100)</f>
        <v/>
      </c>
      <c r="I282" s="18" t="n"/>
      <c r="J282" s="35">
        <f>IF($F282="","",$H282*$I282/100)</f>
        <v/>
      </c>
      <c r="K282" s="18" t="n"/>
      <c r="L282" s="35">
        <f>IF($F282="","",$F282*$K282/100)</f>
        <v/>
      </c>
      <c r="M282" s="20">
        <f>IF($A282="","",ROUNDUP(MONTH($A282)/3,0))</f>
        <v/>
      </c>
    </row>
    <row r="283">
      <c r="A283" s="33" t="n"/>
      <c r="B283" s="16" t="n"/>
      <c r="C283" s="16" t="n"/>
      <c r="D283" s="16" t="n"/>
      <c r="E283" s="16" t="n"/>
      <c r="F283" s="34" t="n"/>
      <c r="G283" s="18" t="n"/>
      <c r="H283" s="35">
        <f>IF($F283="","",$F283*$G283/100)</f>
        <v/>
      </c>
      <c r="I283" s="18" t="n"/>
      <c r="J283" s="35">
        <f>IF($F283="","",$H283*$I283/100)</f>
        <v/>
      </c>
      <c r="K283" s="18" t="n"/>
      <c r="L283" s="35">
        <f>IF($F283="","",$F283*$K283/100)</f>
        <v/>
      </c>
      <c r="M283" s="20">
        <f>IF($A283="","",ROUNDUP(MONTH($A283)/3,0))</f>
        <v/>
      </c>
    </row>
    <row r="284">
      <c r="A284" s="33" t="n"/>
      <c r="B284" s="16" t="n"/>
      <c r="C284" s="16" t="n"/>
      <c r="D284" s="16" t="n"/>
      <c r="E284" s="16" t="n"/>
      <c r="F284" s="34" t="n"/>
      <c r="G284" s="18" t="n"/>
      <c r="H284" s="35">
        <f>IF($F284="","",$F284*$G284/100)</f>
        <v/>
      </c>
      <c r="I284" s="18" t="n"/>
      <c r="J284" s="35">
        <f>IF($F284="","",$H284*$I284/100)</f>
        <v/>
      </c>
      <c r="K284" s="18" t="n"/>
      <c r="L284" s="35">
        <f>IF($F284="","",$F284*$K284/100)</f>
        <v/>
      </c>
      <c r="M284" s="20">
        <f>IF($A284="","",ROUNDUP(MONTH($A284)/3,0))</f>
        <v/>
      </c>
    </row>
    <row r="285">
      <c r="A285" s="33" t="n"/>
      <c r="B285" s="16" t="n"/>
      <c r="C285" s="16" t="n"/>
      <c r="D285" s="16" t="n"/>
      <c r="E285" s="16" t="n"/>
      <c r="F285" s="34" t="n"/>
      <c r="G285" s="18" t="n"/>
      <c r="H285" s="35">
        <f>IF($F285="","",$F285*$G285/100)</f>
        <v/>
      </c>
      <c r="I285" s="18" t="n"/>
      <c r="J285" s="35">
        <f>IF($F285="","",$H285*$I285/100)</f>
        <v/>
      </c>
      <c r="K285" s="18" t="n"/>
      <c r="L285" s="35">
        <f>IF($F285="","",$F285*$K285/100)</f>
        <v/>
      </c>
      <c r="M285" s="20">
        <f>IF($A285="","",ROUNDUP(MONTH($A285)/3,0))</f>
        <v/>
      </c>
    </row>
    <row r="286">
      <c r="A286" s="33" t="n"/>
      <c r="B286" s="16" t="n"/>
      <c r="C286" s="16" t="n"/>
      <c r="D286" s="16" t="n"/>
      <c r="E286" s="16" t="n"/>
      <c r="F286" s="34" t="n"/>
      <c r="G286" s="18" t="n"/>
      <c r="H286" s="35">
        <f>IF($F286="","",$F286*$G286/100)</f>
        <v/>
      </c>
      <c r="I286" s="18" t="n"/>
      <c r="J286" s="35">
        <f>IF($F286="","",$H286*$I286/100)</f>
        <v/>
      </c>
      <c r="K286" s="18" t="n"/>
      <c r="L286" s="35">
        <f>IF($F286="","",$F286*$K286/100)</f>
        <v/>
      </c>
      <c r="M286" s="20">
        <f>IF($A286="","",ROUNDUP(MONTH($A286)/3,0))</f>
        <v/>
      </c>
    </row>
    <row r="287">
      <c r="A287" s="33" t="n"/>
      <c r="B287" s="16" t="n"/>
      <c r="C287" s="16" t="n"/>
      <c r="D287" s="16" t="n"/>
      <c r="E287" s="16" t="n"/>
      <c r="F287" s="34" t="n"/>
      <c r="G287" s="18" t="n"/>
      <c r="H287" s="35">
        <f>IF($F287="","",$F287*$G287/100)</f>
        <v/>
      </c>
      <c r="I287" s="18" t="n"/>
      <c r="J287" s="35">
        <f>IF($F287="","",$H287*$I287/100)</f>
        <v/>
      </c>
      <c r="K287" s="18" t="n"/>
      <c r="L287" s="35">
        <f>IF($F287="","",$F287*$K287/100)</f>
        <v/>
      </c>
      <c r="M287" s="20">
        <f>IF($A287="","",ROUNDUP(MONTH($A287)/3,0))</f>
        <v/>
      </c>
    </row>
    <row r="288">
      <c r="A288" s="33" t="n"/>
      <c r="B288" s="16" t="n"/>
      <c r="C288" s="16" t="n"/>
      <c r="D288" s="16" t="n"/>
      <c r="E288" s="16" t="n"/>
      <c r="F288" s="34" t="n"/>
      <c r="G288" s="18" t="n"/>
      <c r="H288" s="35">
        <f>IF($F288="","",$F288*$G288/100)</f>
        <v/>
      </c>
      <c r="I288" s="18" t="n"/>
      <c r="J288" s="35">
        <f>IF($F288="","",$H288*$I288/100)</f>
        <v/>
      </c>
      <c r="K288" s="18" t="n"/>
      <c r="L288" s="35">
        <f>IF($F288="","",$F288*$K288/100)</f>
        <v/>
      </c>
      <c r="M288" s="20">
        <f>IF($A288="","",ROUNDUP(MONTH($A288)/3,0))</f>
        <v/>
      </c>
    </row>
    <row r="289">
      <c r="A289" s="33" t="n"/>
      <c r="B289" s="16" t="n"/>
      <c r="C289" s="16" t="n"/>
      <c r="D289" s="16" t="n"/>
      <c r="E289" s="16" t="n"/>
      <c r="F289" s="34" t="n"/>
      <c r="G289" s="18" t="n"/>
      <c r="H289" s="35">
        <f>IF($F289="","",$F289*$G289/100)</f>
        <v/>
      </c>
      <c r="I289" s="18" t="n"/>
      <c r="J289" s="35">
        <f>IF($F289="","",$H289*$I289/100)</f>
        <v/>
      </c>
      <c r="K289" s="18" t="n"/>
      <c r="L289" s="35">
        <f>IF($F289="","",$F289*$K289/100)</f>
        <v/>
      </c>
      <c r="M289" s="20">
        <f>IF($A289="","",ROUNDUP(MONTH($A289)/3,0))</f>
        <v/>
      </c>
    </row>
    <row r="290">
      <c r="A290" s="33" t="n"/>
      <c r="B290" s="16" t="n"/>
      <c r="C290" s="16" t="n"/>
      <c r="D290" s="16" t="n"/>
      <c r="E290" s="16" t="n"/>
      <c r="F290" s="34" t="n"/>
      <c r="G290" s="18" t="n"/>
      <c r="H290" s="35">
        <f>IF($F290="","",$F290*$G290/100)</f>
        <v/>
      </c>
      <c r="I290" s="18" t="n"/>
      <c r="J290" s="35">
        <f>IF($F290="","",$H290*$I290/100)</f>
        <v/>
      </c>
      <c r="K290" s="18" t="n"/>
      <c r="L290" s="35">
        <f>IF($F290="","",$F290*$K290/100)</f>
        <v/>
      </c>
      <c r="M290" s="20">
        <f>IF($A290="","",ROUNDUP(MONTH($A290)/3,0))</f>
        <v/>
      </c>
    </row>
    <row r="291">
      <c r="A291" s="33" t="n"/>
      <c r="B291" s="16" t="n"/>
      <c r="C291" s="16" t="n"/>
      <c r="D291" s="16" t="n"/>
      <c r="E291" s="16" t="n"/>
      <c r="F291" s="34" t="n"/>
      <c r="G291" s="18" t="n"/>
      <c r="H291" s="35">
        <f>IF($F291="","",$F291*$G291/100)</f>
        <v/>
      </c>
      <c r="I291" s="18" t="n"/>
      <c r="J291" s="35">
        <f>IF($F291="","",$H291*$I291/100)</f>
        <v/>
      </c>
      <c r="K291" s="18" t="n"/>
      <c r="L291" s="35">
        <f>IF($F291="","",$F291*$K291/100)</f>
        <v/>
      </c>
      <c r="M291" s="20">
        <f>IF($A291="","",ROUNDUP(MONTH($A291)/3,0))</f>
        <v/>
      </c>
    </row>
    <row r="292">
      <c r="A292" s="33" t="n"/>
      <c r="B292" s="16" t="n"/>
      <c r="C292" s="16" t="n"/>
      <c r="D292" s="16" t="n"/>
      <c r="E292" s="16" t="n"/>
      <c r="F292" s="34" t="n"/>
      <c r="G292" s="18" t="n"/>
      <c r="H292" s="35">
        <f>IF($F292="","",$F292*$G292/100)</f>
        <v/>
      </c>
      <c r="I292" s="18" t="n"/>
      <c r="J292" s="35">
        <f>IF($F292="","",$H292*$I292/100)</f>
        <v/>
      </c>
      <c r="K292" s="18" t="n"/>
      <c r="L292" s="35">
        <f>IF($F292="","",$F292*$K292/100)</f>
        <v/>
      </c>
      <c r="M292" s="20">
        <f>IF($A292="","",ROUNDUP(MONTH($A292)/3,0))</f>
        <v/>
      </c>
    </row>
    <row r="293">
      <c r="A293" s="33" t="n"/>
      <c r="B293" s="16" t="n"/>
      <c r="C293" s="16" t="n"/>
      <c r="D293" s="16" t="n"/>
      <c r="E293" s="16" t="n"/>
      <c r="F293" s="34" t="n"/>
      <c r="G293" s="18" t="n"/>
      <c r="H293" s="35">
        <f>IF($F293="","",$F293*$G293/100)</f>
        <v/>
      </c>
      <c r="I293" s="18" t="n"/>
      <c r="J293" s="35">
        <f>IF($F293="","",$H293*$I293/100)</f>
        <v/>
      </c>
      <c r="K293" s="18" t="n"/>
      <c r="L293" s="35">
        <f>IF($F293="","",$F293*$K293/100)</f>
        <v/>
      </c>
      <c r="M293" s="20">
        <f>IF($A293="","",ROUNDUP(MONTH($A293)/3,0))</f>
        <v/>
      </c>
    </row>
    <row r="294">
      <c r="A294" s="33" t="n"/>
      <c r="B294" s="16" t="n"/>
      <c r="C294" s="16" t="n"/>
      <c r="D294" s="16" t="n"/>
      <c r="E294" s="16" t="n"/>
      <c r="F294" s="34" t="n"/>
      <c r="G294" s="18" t="n"/>
      <c r="H294" s="35">
        <f>IF($F294="","",$F294*$G294/100)</f>
        <v/>
      </c>
      <c r="I294" s="18" t="n"/>
      <c r="J294" s="35">
        <f>IF($F294="","",$H294*$I294/100)</f>
        <v/>
      </c>
      <c r="K294" s="18" t="n"/>
      <c r="L294" s="35">
        <f>IF($F294="","",$F294*$K294/100)</f>
        <v/>
      </c>
      <c r="M294" s="20">
        <f>IF($A294="","",ROUNDUP(MONTH($A294)/3,0))</f>
        <v/>
      </c>
    </row>
    <row r="295">
      <c r="A295" s="33" t="n"/>
      <c r="B295" s="16" t="n"/>
      <c r="C295" s="16" t="n"/>
      <c r="D295" s="16" t="n"/>
      <c r="E295" s="16" t="n"/>
      <c r="F295" s="34" t="n"/>
      <c r="G295" s="18" t="n"/>
      <c r="H295" s="35">
        <f>IF($F295="","",$F295*$G295/100)</f>
        <v/>
      </c>
      <c r="I295" s="18" t="n"/>
      <c r="J295" s="35">
        <f>IF($F295="","",$H295*$I295/100)</f>
        <v/>
      </c>
      <c r="K295" s="18" t="n"/>
      <c r="L295" s="35">
        <f>IF($F295="","",$F295*$K295/100)</f>
        <v/>
      </c>
      <c r="M295" s="20">
        <f>IF($A295="","",ROUNDUP(MONTH($A295)/3,0))</f>
        <v/>
      </c>
    </row>
    <row r="296">
      <c r="A296" s="33" t="n"/>
      <c r="B296" s="16" t="n"/>
      <c r="C296" s="16" t="n"/>
      <c r="D296" s="16" t="n"/>
      <c r="E296" s="16" t="n"/>
      <c r="F296" s="34" t="n"/>
      <c r="G296" s="18" t="n"/>
      <c r="H296" s="35">
        <f>IF($F296="","",$F296*$G296/100)</f>
        <v/>
      </c>
      <c r="I296" s="18" t="n"/>
      <c r="J296" s="35">
        <f>IF($F296="","",$H296*$I296/100)</f>
        <v/>
      </c>
      <c r="K296" s="18" t="n"/>
      <c r="L296" s="35">
        <f>IF($F296="","",$F296*$K296/100)</f>
        <v/>
      </c>
      <c r="M296" s="20">
        <f>IF($A296="","",ROUNDUP(MONTH($A296)/3,0))</f>
        <v/>
      </c>
    </row>
    <row r="297">
      <c r="A297" s="33" t="n"/>
      <c r="B297" s="16" t="n"/>
      <c r="C297" s="16" t="n"/>
      <c r="D297" s="16" t="n"/>
      <c r="E297" s="16" t="n"/>
      <c r="F297" s="34" t="n"/>
      <c r="G297" s="18" t="n"/>
      <c r="H297" s="35">
        <f>IF($F297="","",$F297*$G297/100)</f>
        <v/>
      </c>
      <c r="I297" s="18" t="n"/>
      <c r="J297" s="35">
        <f>IF($F297="","",$H297*$I297/100)</f>
        <v/>
      </c>
      <c r="K297" s="18" t="n"/>
      <c r="L297" s="35">
        <f>IF($F297="","",$F297*$K297/100)</f>
        <v/>
      </c>
      <c r="M297" s="20">
        <f>IF($A297="","",ROUNDUP(MONTH($A297)/3,0))</f>
        <v/>
      </c>
    </row>
    <row r="298">
      <c r="A298" s="33" t="n"/>
      <c r="B298" s="16" t="n"/>
      <c r="C298" s="16" t="n"/>
      <c r="D298" s="16" t="n"/>
      <c r="E298" s="16" t="n"/>
      <c r="F298" s="34" t="n"/>
      <c r="G298" s="18" t="n"/>
      <c r="H298" s="35">
        <f>IF($F298="","",$F298*$G298/100)</f>
        <v/>
      </c>
      <c r="I298" s="18" t="n"/>
      <c r="J298" s="35">
        <f>IF($F298="","",$H298*$I298/100)</f>
        <v/>
      </c>
      <c r="K298" s="18" t="n"/>
      <c r="L298" s="35">
        <f>IF($F298="","",$F298*$K298/100)</f>
        <v/>
      </c>
      <c r="M298" s="20">
        <f>IF($A298="","",ROUNDUP(MONTH($A298)/3,0))</f>
        <v/>
      </c>
    </row>
    <row r="299">
      <c r="A299" s="33" t="n"/>
      <c r="B299" s="16" t="n"/>
      <c r="C299" s="16" t="n"/>
      <c r="D299" s="16" t="n"/>
      <c r="E299" s="16" t="n"/>
      <c r="F299" s="34" t="n"/>
      <c r="G299" s="18" t="n"/>
      <c r="H299" s="35">
        <f>IF($F299="","",$F299*$G299/100)</f>
        <v/>
      </c>
      <c r="I299" s="18" t="n"/>
      <c r="J299" s="35">
        <f>IF($F299="","",$H299*$I299/100)</f>
        <v/>
      </c>
      <c r="K299" s="18" t="n"/>
      <c r="L299" s="35">
        <f>IF($F299="","",$F299*$K299/100)</f>
        <v/>
      </c>
      <c r="M299" s="20">
        <f>IF($A299="","",ROUNDUP(MONTH($A299)/3,0))</f>
        <v/>
      </c>
    </row>
    <row r="300">
      <c r="A300" s="33" t="n"/>
      <c r="B300" s="16" t="n"/>
      <c r="C300" s="16" t="n"/>
      <c r="D300" s="16" t="n"/>
      <c r="E300" s="16" t="n"/>
      <c r="F300" s="34" t="n"/>
      <c r="G300" s="18" t="n"/>
      <c r="H300" s="35">
        <f>IF($F300="","",$F300*$G300/100)</f>
        <v/>
      </c>
      <c r="I300" s="18" t="n"/>
      <c r="J300" s="35">
        <f>IF($F300="","",$H300*$I300/100)</f>
        <v/>
      </c>
      <c r="K300" s="18" t="n"/>
      <c r="L300" s="35">
        <f>IF($F300="","",$F300*$K300/100)</f>
        <v/>
      </c>
      <c r="M300" s="20">
        <f>IF($A300="","",ROUNDUP(MONTH($A300)/3,0))</f>
        <v/>
      </c>
    </row>
    <row r="301">
      <c r="A301" s="33" t="n"/>
      <c r="B301" s="16" t="n"/>
      <c r="C301" s="16" t="n"/>
      <c r="D301" s="16" t="n"/>
      <c r="E301" s="16" t="n"/>
      <c r="F301" s="34" t="n"/>
      <c r="G301" s="18" t="n"/>
      <c r="H301" s="35">
        <f>IF($F301="","",$F301*$G301/100)</f>
        <v/>
      </c>
      <c r="I301" s="18" t="n"/>
      <c r="J301" s="35">
        <f>IF($F301="","",$H301*$I301/100)</f>
        <v/>
      </c>
      <c r="K301" s="18" t="n"/>
      <c r="L301" s="35">
        <f>IF($F301="","",$F301*$K301/100)</f>
        <v/>
      </c>
      <c r="M301" s="20">
        <f>IF($A301="","",ROUNDUP(MONTH($A301)/3,0))</f>
        <v/>
      </c>
    </row>
    <row r="302">
      <c r="A302" s="33" t="n"/>
      <c r="B302" s="16" t="n"/>
      <c r="C302" s="16" t="n"/>
      <c r="D302" s="16" t="n"/>
      <c r="E302" s="16" t="n"/>
      <c r="F302" s="34" t="n"/>
      <c r="G302" s="18" t="n"/>
      <c r="H302" s="35">
        <f>IF($F302="","",$F302*$G302/100)</f>
        <v/>
      </c>
      <c r="I302" s="18" t="n"/>
      <c r="J302" s="35">
        <f>IF($F302="","",$H302*$I302/100)</f>
        <v/>
      </c>
      <c r="K302" s="18" t="n"/>
      <c r="L302" s="35">
        <f>IF($F302="","",$F302*$K302/100)</f>
        <v/>
      </c>
      <c r="M302" s="20">
        <f>IF($A302="","",ROUNDUP(MONTH($A302)/3,0))</f>
        <v/>
      </c>
    </row>
    <row r="303">
      <c r="A303" s="33" t="n"/>
      <c r="B303" s="16" t="n"/>
      <c r="C303" s="16" t="n"/>
      <c r="D303" s="16" t="n"/>
      <c r="E303" s="16" t="n"/>
      <c r="F303" s="34" t="n"/>
      <c r="G303" s="18" t="n"/>
      <c r="H303" s="35">
        <f>IF($F303="","",$F303*$G303/100)</f>
        <v/>
      </c>
      <c r="I303" s="18" t="n"/>
      <c r="J303" s="35">
        <f>IF($F303="","",$H303*$I303/100)</f>
        <v/>
      </c>
      <c r="K303" s="18" t="n"/>
      <c r="L303" s="35">
        <f>IF($F303="","",$F303*$K303/100)</f>
        <v/>
      </c>
      <c r="M303" s="20">
        <f>IF($A303="","",ROUNDUP(MONTH($A303)/3,0))</f>
        <v/>
      </c>
    </row>
    <row r="304">
      <c r="A304" s="33" t="n"/>
      <c r="B304" s="16" t="n"/>
      <c r="C304" s="16" t="n"/>
      <c r="D304" s="16" t="n"/>
      <c r="E304" s="16" t="n"/>
      <c r="F304" s="34" t="n"/>
      <c r="G304" s="18" t="n"/>
      <c r="H304" s="35">
        <f>IF($F304="","",$F304*$G304/100)</f>
        <v/>
      </c>
      <c r="I304" s="18" t="n"/>
      <c r="J304" s="35">
        <f>IF($F304="","",$H304*$I304/100)</f>
        <v/>
      </c>
      <c r="K304" s="18" t="n"/>
      <c r="L304" s="35">
        <f>IF($F304="","",$F304*$K304/100)</f>
        <v/>
      </c>
      <c r="M304" s="20">
        <f>IF($A304="","",ROUNDUP(MONTH($A304)/3,0))</f>
        <v/>
      </c>
    </row>
    <row r="305">
      <c r="A305" s="33" t="n"/>
      <c r="B305" s="16" t="n"/>
      <c r="C305" s="16" t="n"/>
      <c r="D305" s="16" t="n"/>
      <c r="E305" s="16" t="n"/>
      <c r="F305" s="34" t="n"/>
      <c r="G305" s="18" t="n"/>
      <c r="H305" s="35">
        <f>IF($F305="","",$F305*$G305/100)</f>
        <v/>
      </c>
      <c r="I305" s="18" t="n"/>
      <c r="J305" s="35">
        <f>IF($F305="","",$H305*$I305/100)</f>
        <v/>
      </c>
      <c r="K305" s="18" t="n"/>
      <c r="L305" s="35">
        <f>IF($F305="","",$F305*$K305/100)</f>
        <v/>
      </c>
      <c r="M305" s="20">
        <f>IF($A305="","",ROUNDUP(MONTH($A305)/3,0))</f>
        <v/>
      </c>
    </row>
    <row r="306">
      <c r="A306" s="33" t="n"/>
      <c r="B306" s="16" t="n"/>
      <c r="C306" s="16" t="n"/>
      <c r="D306" s="16" t="n"/>
      <c r="E306" s="16" t="n"/>
      <c r="F306" s="34" t="n"/>
      <c r="G306" s="18" t="n"/>
      <c r="H306" s="35">
        <f>IF($F306="","",$F306*$G306/100)</f>
        <v/>
      </c>
      <c r="I306" s="18" t="n"/>
      <c r="J306" s="35">
        <f>IF($F306="","",$H306*$I306/100)</f>
        <v/>
      </c>
      <c r="K306" s="18" t="n"/>
      <c r="L306" s="35">
        <f>IF($F306="","",$F306*$K306/100)</f>
        <v/>
      </c>
      <c r="M306" s="20">
        <f>IF($A306="","",ROUNDUP(MONTH($A306)/3,0))</f>
        <v/>
      </c>
    </row>
    <row r="307">
      <c r="A307" s="33" t="n"/>
      <c r="B307" s="16" t="n"/>
      <c r="C307" s="16" t="n"/>
      <c r="D307" s="16" t="n"/>
      <c r="E307" s="16" t="n"/>
      <c r="F307" s="34" t="n"/>
      <c r="G307" s="18" t="n"/>
      <c r="H307" s="35">
        <f>IF($F307="","",$F307*$G307/100)</f>
        <v/>
      </c>
      <c r="I307" s="18" t="n"/>
      <c r="J307" s="35">
        <f>IF($F307="","",$H307*$I307/100)</f>
        <v/>
      </c>
      <c r="K307" s="18" t="n"/>
      <c r="L307" s="35">
        <f>IF($F307="","",$F307*$K307/100)</f>
        <v/>
      </c>
      <c r="M307" s="20">
        <f>IF($A307="","",ROUNDUP(MONTH($A307)/3,0))</f>
        <v/>
      </c>
    </row>
    <row r="308">
      <c r="A308" s="33" t="n"/>
      <c r="B308" s="16" t="n"/>
      <c r="C308" s="16" t="n"/>
      <c r="D308" s="16" t="n"/>
      <c r="E308" s="16" t="n"/>
      <c r="F308" s="34" t="n"/>
      <c r="G308" s="18" t="n"/>
      <c r="H308" s="35">
        <f>IF($F308="","",$F308*$G308/100)</f>
        <v/>
      </c>
      <c r="I308" s="18" t="n"/>
      <c r="J308" s="35">
        <f>IF($F308="","",$H308*$I308/100)</f>
        <v/>
      </c>
      <c r="K308" s="18" t="n"/>
      <c r="L308" s="35">
        <f>IF($F308="","",$F308*$K308/100)</f>
        <v/>
      </c>
      <c r="M308" s="20">
        <f>IF($A308="","",ROUNDUP(MONTH($A308)/3,0))</f>
        <v/>
      </c>
    </row>
    <row r="309">
      <c r="A309" s="33" t="n"/>
      <c r="B309" s="16" t="n"/>
      <c r="C309" s="16" t="n"/>
      <c r="D309" s="16" t="n"/>
      <c r="E309" s="16" t="n"/>
      <c r="F309" s="34" t="n"/>
      <c r="G309" s="18" t="n"/>
      <c r="H309" s="35">
        <f>IF($F309="","",$F309*$G309/100)</f>
        <v/>
      </c>
      <c r="I309" s="18" t="n"/>
      <c r="J309" s="35">
        <f>IF($F309="","",$H309*$I309/100)</f>
        <v/>
      </c>
      <c r="K309" s="18" t="n"/>
      <c r="L309" s="35">
        <f>IF($F309="","",$F309*$K309/100)</f>
        <v/>
      </c>
      <c r="M309" s="20">
        <f>IF($A309="","",ROUNDUP(MONTH($A309)/3,0))</f>
        <v/>
      </c>
    </row>
    <row r="310">
      <c r="A310" s="33" t="n"/>
      <c r="B310" s="16" t="n"/>
      <c r="C310" s="16" t="n"/>
      <c r="D310" s="16" t="n"/>
      <c r="E310" s="16" t="n"/>
      <c r="F310" s="34" t="n"/>
      <c r="G310" s="18" t="n"/>
      <c r="H310" s="35">
        <f>IF($F310="","",$F310*$G310/100)</f>
        <v/>
      </c>
      <c r="I310" s="18" t="n"/>
      <c r="J310" s="35">
        <f>IF($F310="","",$H310*$I310/100)</f>
        <v/>
      </c>
      <c r="K310" s="18" t="n"/>
      <c r="L310" s="35">
        <f>IF($F310="","",$F310*$K310/100)</f>
        <v/>
      </c>
      <c r="M310" s="20">
        <f>IF($A310="","",ROUNDUP(MONTH($A310)/3,0))</f>
        <v/>
      </c>
    </row>
    <row r="311">
      <c r="A311" s="33" t="n"/>
      <c r="B311" s="16" t="n"/>
      <c r="C311" s="16" t="n"/>
      <c r="D311" s="16" t="n"/>
      <c r="E311" s="16" t="n"/>
      <c r="F311" s="34" t="n"/>
      <c r="G311" s="18" t="n"/>
      <c r="H311" s="35">
        <f>IF($F311="","",$F311*$G311/100)</f>
        <v/>
      </c>
      <c r="I311" s="18" t="n"/>
      <c r="J311" s="35">
        <f>IF($F311="","",$H311*$I311/100)</f>
        <v/>
      </c>
      <c r="K311" s="18" t="n"/>
      <c r="L311" s="35">
        <f>IF($F311="","",$F311*$K311/100)</f>
        <v/>
      </c>
      <c r="M311" s="20">
        <f>IF($A311="","",ROUNDUP(MONTH($A311)/3,0))</f>
        <v/>
      </c>
    </row>
    <row r="312">
      <c r="A312" s="33" t="n"/>
      <c r="B312" s="16" t="n"/>
      <c r="C312" s="16" t="n"/>
      <c r="D312" s="16" t="n"/>
      <c r="E312" s="16" t="n"/>
      <c r="F312" s="34" t="n"/>
      <c r="G312" s="18" t="n"/>
      <c r="H312" s="35">
        <f>IF($F312="","",$F312*$G312/100)</f>
        <v/>
      </c>
      <c r="I312" s="18" t="n"/>
      <c r="J312" s="35">
        <f>IF($F312="","",$H312*$I312/100)</f>
        <v/>
      </c>
      <c r="K312" s="18" t="n"/>
      <c r="L312" s="35">
        <f>IF($F312="","",$F312*$K312/100)</f>
        <v/>
      </c>
      <c r="M312" s="20">
        <f>IF($A312="","",ROUNDUP(MONTH($A312)/3,0))</f>
        <v/>
      </c>
    </row>
    <row r="313">
      <c r="A313" s="33" t="n"/>
      <c r="B313" s="16" t="n"/>
      <c r="C313" s="16" t="n"/>
      <c r="D313" s="16" t="n"/>
      <c r="E313" s="16" t="n"/>
      <c r="F313" s="34" t="n"/>
      <c r="G313" s="18" t="n"/>
      <c r="H313" s="35">
        <f>IF($F313="","",$F313*$G313/100)</f>
        <v/>
      </c>
      <c r="I313" s="18" t="n"/>
      <c r="J313" s="35">
        <f>IF($F313="","",$H313*$I313/100)</f>
        <v/>
      </c>
      <c r="K313" s="18" t="n"/>
      <c r="L313" s="35">
        <f>IF($F313="","",$F313*$K313/100)</f>
        <v/>
      </c>
      <c r="M313" s="20">
        <f>IF($A313="","",ROUNDUP(MONTH($A313)/3,0))</f>
        <v/>
      </c>
    </row>
    <row r="314">
      <c r="A314" s="33" t="n"/>
      <c r="B314" s="16" t="n"/>
      <c r="C314" s="16" t="n"/>
      <c r="D314" s="16" t="n"/>
      <c r="E314" s="16" t="n"/>
      <c r="F314" s="34" t="n"/>
      <c r="G314" s="18" t="n"/>
      <c r="H314" s="35">
        <f>IF($F314="","",$F314*$G314/100)</f>
        <v/>
      </c>
      <c r="I314" s="18" t="n"/>
      <c r="J314" s="35">
        <f>IF($F314="","",$H314*$I314/100)</f>
        <v/>
      </c>
      <c r="K314" s="18" t="n"/>
      <c r="L314" s="35">
        <f>IF($F314="","",$F314*$K314/100)</f>
        <v/>
      </c>
      <c r="M314" s="20">
        <f>IF($A314="","",ROUNDUP(MONTH($A314)/3,0))</f>
        <v/>
      </c>
    </row>
    <row r="315">
      <c r="A315" s="33" t="n"/>
      <c r="B315" s="16" t="n"/>
      <c r="C315" s="16" t="n"/>
      <c r="D315" s="16" t="n"/>
      <c r="E315" s="16" t="n"/>
      <c r="F315" s="34" t="n"/>
      <c r="G315" s="18" t="n"/>
      <c r="H315" s="35">
        <f>IF($F315="","",$F315*$G315/100)</f>
        <v/>
      </c>
      <c r="I315" s="18" t="n"/>
      <c r="J315" s="35">
        <f>IF($F315="","",$H315*$I315/100)</f>
        <v/>
      </c>
      <c r="K315" s="18" t="n"/>
      <c r="L315" s="35">
        <f>IF($F315="","",$F315*$K315/100)</f>
        <v/>
      </c>
      <c r="M315" s="20">
        <f>IF($A315="","",ROUNDUP(MONTH($A315)/3,0))</f>
        <v/>
      </c>
    </row>
    <row r="316">
      <c r="A316" s="33" t="n"/>
      <c r="B316" s="16" t="n"/>
      <c r="C316" s="16" t="n"/>
      <c r="D316" s="16" t="n"/>
      <c r="E316" s="16" t="n"/>
      <c r="F316" s="34" t="n"/>
      <c r="G316" s="18" t="n"/>
      <c r="H316" s="35">
        <f>IF($F316="","",$F316*$G316/100)</f>
        <v/>
      </c>
      <c r="I316" s="18" t="n"/>
      <c r="J316" s="35">
        <f>IF($F316="","",$H316*$I316/100)</f>
        <v/>
      </c>
      <c r="K316" s="18" t="n"/>
      <c r="L316" s="35">
        <f>IF($F316="","",$F316*$K316/100)</f>
        <v/>
      </c>
      <c r="M316" s="20">
        <f>IF($A316="","",ROUNDUP(MONTH($A316)/3,0))</f>
        <v/>
      </c>
    </row>
    <row r="317">
      <c r="A317" s="33" t="n"/>
      <c r="B317" s="16" t="n"/>
      <c r="C317" s="16" t="n"/>
      <c r="D317" s="16" t="n"/>
      <c r="E317" s="16" t="n"/>
      <c r="F317" s="34" t="n"/>
      <c r="G317" s="18" t="n"/>
      <c r="H317" s="35">
        <f>IF($F317="","",$F317*$G317/100)</f>
        <v/>
      </c>
      <c r="I317" s="18" t="n"/>
      <c r="J317" s="35">
        <f>IF($F317="","",$H317*$I317/100)</f>
        <v/>
      </c>
      <c r="K317" s="18" t="n"/>
      <c r="L317" s="35">
        <f>IF($F317="","",$F317*$K317/100)</f>
        <v/>
      </c>
      <c r="M317" s="20">
        <f>IF($A317="","",ROUNDUP(MONTH($A317)/3,0))</f>
        <v/>
      </c>
    </row>
    <row r="318">
      <c r="A318" s="33" t="n"/>
      <c r="B318" s="16" t="n"/>
      <c r="C318" s="16" t="n"/>
      <c r="D318" s="16" t="n"/>
      <c r="E318" s="16" t="n"/>
      <c r="F318" s="34" t="n"/>
      <c r="G318" s="18" t="n"/>
      <c r="H318" s="35">
        <f>IF($F318="","",$F318*$G318/100)</f>
        <v/>
      </c>
      <c r="I318" s="18" t="n"/>
      <c r="J318" s="35">
        <f>IF($F318="","",$H318*$I318/100)</f>
        <v/>
      </c>
      <c r="K318" s="18" t="n"/>
      <c r="L318" s="35">
        <f>IF($F318="","",$F318*$K318/100)</f>
        <v/>
      </c>
      <c r="M318" s="20">
        <f>IF($A318="","",ROUNDUP(MONTH($A318)/3,0))</f>
        <v/>
      </c>
    </row>
    <row r="319">
      <c r="A319" s="33" t="n"/>
      <c r="B319" s="16" t="n"/>
      <c r="C319" s="16" t="n"/>
      <c r="D319" s="16" t="n"/>
      <c r="E319" s="16" t="n"/>
      <c r="F319" s="34" t="n"/>
      <c r="G319" s="18" t="n"/>
      <c r="H319" s="35">
        <f>IF($F319="","",$F319*$G319/100)</f>
        <v/>
      </c>
      <c r="I319" s="18" t="n"/>
      <c r="J319" s="35">
        <f>IF($F319="","",$H319*$I319/100)</f>
        <v/>
      </c>
      <c r="K319" s="18" t="n"/>
      <c r="L319" s="35">
        <f>IF($F319="","",$F319*$K319/100)</f>
        <v/>
      </c>
      <c r="M319" s="20">
        <f>IF($A319="","",ROUNDUP(MONTH($A319)/3,0))</f>
        <v/>
      </c>
    </row>
    <row r="320">
      <c r="A320" s="33" t="n"/>
      <c r="B320" s="16" t="n"/>
      <c r="C320" s="16" t="n"/>
      <c r="D320" s="16" t="n"/>
      <c r="E320" s="16" t="n"/>
      <c r="F320" s="34" t="n"/>
      <c r="G320" s="18" t="n"/>
      <c r="H320" s="35">
        <f>IF($F320="","",$F320*$G320/100)</f>
        <v/>
      </c>
      <c r="I320" s="18" t="n"/>
      <c r="J320" s="35">
        <f>IF($F320="","",$H320*$I320/100)</f>
        <v/>
      </c>
      <c r="K320" s="18" t="n"/>
      <c r="L320" s="35">
        <f>IF($F320="","",$F320*$K320/100)</f>
        <v/>
      </c>
      <c r="M320" s="20">
        <f>IF($A320="","",ROUNDUP(MONTH($A320)/3,0))</f>
        <v/>
      </c>
    </row>
    <row r="321">
      <c r="A321" s="33" t="n"/>
      <c r="B321" s="16" t="n"/>
      <c r="C321" s="16" t="n"/>
      <c r="D321" s="16" t="n"/>
      <c r="E321" s="16" t="n"/>
      <c r="F321" s="34" t="n"/>
      <c r="G321" s="18" t="n"/>
      <c r="H321" s="35">
        <f>IF($F321="","",$F321*$G321/100)</f>
        <v/>
      </c>
      <c r="I321" s="18" t="n"/>
      <c r="J321" s="35">
        <f>IF($F321="","",$H321*$I321/100)</f>
        <v/>
      </c>
      <c r="K321" s="18" t="n"/>
      <c r="L321" s="35">
        <f>IF($F321="","",$F321*$K321/100)</f>
        <v/>
      </c>
      <c r="M321" s="20">
        <f>IF($A321="","",ROUNDUP(MONTH($A321)/3,0))</f>
        <v/>
      </c>
    </row>
    <row r="322">
      <c r="A322" s="33" t="n"/>
      <c r="B322" s="16" t="n"/>
      <c r="C322" s="16" t="n"/>
      <c r="D322" s="16" t="n"/>
      <c r="E322" s="16" t="n"/>
      <c r="F322" s="34" t="n"/>
      <c r="G322" s="18" t="n"/>
      <c r="H322" s="35">
        <f>IF($F322="","",$F322*$G322/100)</f>
        <v/>
      </c>
      <c r="I322" s="18" t="n"/>
      <c r="J322" s="35">
        <f>IF($F322="","",$H322*$I322/100)</f>
        <v/>
      </c>
      <c r="K322" s="18" t="n"/>
      <c r="L322" s="35">
        <f>IF($F322="","",$F322*$K322/100)</f>
        <v/>
      </c>
      <c r="M322" s="20">
        <f>IF($A322="","",ROUNDUP(MONTH($A322)/3,0))</f>
        <v/>
      </c>
    </row>
    <row r="323">
      <c r="A323" s="33" t="n"/>
      <c r="B323" s="16" t="n"/>
      <c r="C323" s="16" t="n"/>
      <c r="D323" s="16" t="n"/>
      <c r="E323" s="16" t="n"/>
      <c r="F323" s="34" t="n"/>
      <c r="G323" s="18" t="n"/>
      <c r="H323" s="35">
        <f>IF($F323="","",$F323*$G323/100)</f>
        <v/>
      </c>
      <c r="I323" s="18" t="n"/>
      <c r="J323" s="35">
        <f>IF($F323="","",$H323*$I323/100)</f>
        <v/>
      </c>
      <c r="K323" s="18" t="n"/>
      <c r="L323" s="35">
        <f>IF($F323="","",$F323*$K323/100)</f>
        <v/>
      </c>
      <c r="M323" s="20">
        <f>IF($A323="","",ROUNDUP(MONTH($A323)/3,0))</f>
        <v/>
      </c>
    </row>
    <row r="324">
      <c r="A324" s="33" t="n"/>
      <c r="B324" s="16" t="n"/>
      <c r="C324" s="16" t="n"/>
      <c r="D324" s="16" t="n"/>
      <c r="E324" s="16" t="n"/>
      <c r="F324" s="34" t="n"/>
      <c r="G324" s="18" t="n"/>
      <c r="H324" s="35">
        <f>IF($F324="","",$F324*$G324/100)</f>
        <v/>
      </c>
      <c r="I324" s="18" t="n"/>
      <c r="J324" s="35">
        <f>IF($F324="","",$H324*$I324/100)</f>
        <v/>
      </c>
      <c r="K324" s="18" t="n"/>
      <c r="L324" s="35">
        <f>IF($F324="","",$F324*$K324/100)</f>
        <v/>
      </c>
      <c r="M324" s="20">
        <f>IF($A324="","",ROUNDUP(MONTH($A324)/3,0))</f>
        <v/>
      </c>
    </row>
    <row r="325">
      <c r="A325" s="33" t="n"/>
      <c r="B325" s="16" t="n"/>
      <c r="C325" s="16" t="n"/>
      <c r="D325" s="16" t="n"/>
      <c r="E325" s="16" t="n"/>
      <c r="F325" s="34" t="n"/>
      <c r="G325" s="18" t="n"/>
      <c r="H325" s="35">
        <f>IF($F325="","",$F325*$G325/100)</f>
        <v/>
      </c>
      <c r="I325" s="18" t="n"/>
      <c r="J325" s="35">
        <f>IF($F325="","",$H325*$I325/100)</f>
        <v/>
      </c>
      <c r="K325" s="18" t="n"/>
      <c r="L325" s="35">
        <f>IF($F325="","",$F325*$K325/100)</f>
        <v/>
      </c>
      <c r="M325" s="20">
        <f>IF($A325="","",ROUNDUP(MONTH($A325)/3,0))</f>
        <v/>
      </c>
    </row>
    <row r="326">
      <c r="A326" s="33" t="n"/>
      <c r="B326" s="16" t="n"/>
      <c r="C326" s="16" t="n"/>
      <c r="D326" s="16" t="n"/>
      <c r="E326" s="16" t="n"/>
      <c r="F326" s="34" t="n"/>
      <c r="G326" s="18" t="n"/>
      <c r="H326" s="35">
        <f>IF($F326="","",$F326*$G326/100)</f>
        <v/>
      </c>
      <c r="I326" s="18" t="n"/>
      <c r="J326" s="35">
        <f>IF($F326="","",$H326*$I326/100)</f>
        <v/>
      </c>
      <c r="K326" s="18" t="n"/>
      <c r="L326" s="35">
        <f>IF($F326="","",$F326*$K326/100)</f>
        <v/>
      </c>
      <c r="M326" s="20">
        <f>IF($A326="","",ROUNDUP(MONTH($A326)/3,0))</f>
        <v/>
      </c>
    </row>
    <row r="327">
      <c r="A327" s="33" t="n"/>
      <c r="B327" s="16" t="n"/>
      <c r="C327" s="16" t="n"/>
      <c r="D327" s="16" t="n"/>
      <c r="E327" s="16" t="n"/>
      <c r="F327" s="34" t="n"/>
      <c r="G327" s="18" t="n"/>
      <c r="H327" s="35">
        <f>IF($F327="","",$F327*$G327/100)</f>
        <v/>
      </c>
      <c r="I327" s="18" t="n"/>
      <c r="J327" s="35">
        <f>IF($F327="","",$H327*$I327/100)</f>
        <v/>
      </c>
      <c r="K327" s="18" t="n"/>
      <c r="L327" s="35">
        <f>IF($F327="","",$F327*$K327/100)</f>
        <v/>
      </c>
      <c r="M327" s="20">
        <f>IF($A327="","",ROUNDUP(MONTH($A327)/3,0))</f>
        <v/>
      </c>
    </row>
    <row r="328">
      <c r="A328" s="33" t="n"/>
      <c r="B328" s="16" t="n"/>
      <c r="C328" s="16" t="n"/>
      <c r="D328" s="16" t="n"/>
      <c r="E328" s="16" t="n"/>
      <c r="F328" s="34" t="n"/>
      <c r="G328" s="18" t="n"/>
      <c r="H328" s="35">
        <f>IF($F328="","",$F328*$G328/100)</f>
        <v/>
      </c>
      <c r="I328" s="18" t="n"/>
      <c r="J328" s="35">
        <f>IF($F328="","",$H328*$I328/100)</f>
        <v/>
      </c>
      <c r="K328" s="18" t="n"/>
      <c r="L328" s="35">
        <f>IF($F328="","",$F328*$K328/100)</f>
        <v/>
      </c>
      <c r="M328" s="20">
        <f>IF($A328="","",ROUNDUP(MONTH($A328)/3,0))</f>
        <v/>
      </c>
    </row>
    <row r="329">
      <c r="A329" s="33" t="n"/>
      <c r="B329" s="16" t="n"/>
      <c r="C329" s="16" t="n"/>
      <c r="D329" s="16" t="n"/>
      <c r="E329" s="16" t="n"/>
      <c r="F329" s="34" t="n"/>
      <c r="G329" s="18" t="n"/>
      <c r="H329" s="35">
        <f>IF($F329="","",$F329*$G329/100)</f>
        <v/>
      </c>
      <c r="I329" s="18" t="n"/>
      <c r="J329" s="35">
        <f>IF($F329="","",$H329*$I329/100)</f>
        <v/>
      </c>
      <c r="K329" s="18" t="n"/>
      <c r="L329" s="35">
        <f>IF($F329="","",$F329*$K329/100)</f>
        <v/>
      </c>
      <c r="M329" s="20">
        <f>IF($A329="","",ROUNDUP(MONTH($A329)/3,0))</f>
        <v/>
      </c>
    </row>
    <row r="330">
      <c r="A330" s="33" t="n"/>
      <c r="B330" s="16" t="n"/>
      <c r="C330" s="16" t="n"/>
      <c r="D330" s="16" t="n"/>
      <c r="E330" s="16" t="n"/>
      <c r="F330" s="34" t="n"/>
      <c r="G330" s="18" t="n"/>
      <c r="H330" s="35">
        <f>IF($F330="","",$F330*$G330/100)</f>
        <v/>
      </c>
      <c r="I330" s="18" t="n"/>
      <c r="J330" s="35">
        <f>IF($F330="","",$H330*$I330/100)</f>
        <v/>
      </c>
      <c r="K330" s="18" t="n"/>
      <c r="L330" s="35">
        <f>IF($F330="","",$F330*$K330/100)</f>
        <v/>
      </c>
      <c r="M330" s="20">
        <f>IF($A330="","",ROUNDUP(MONTH($A330)/3,0))</f>
        <v/>
      </c>
    </row>
    <row r="331">
      <c r="A331" s="33" t="n"/>
      <c r="B331" s="16" t="n"/>
      <c r="C331" s="16" t="n"/>
      <c r="D331" s="16" t="n"/>
      <c r="E331" s="16" t="n"/>
      <c r="F331" s="34" t="n"/>
      <c r="G331" s="18" t="n"/>
      <c r="H331" s="35">
        <f>IF($F331="","",$F331*$G331/100)</f>
        <v/>
      </c>
      <c r="I331" s="18" t="n"/>
      <c r="J331" s="35">
        <f>IF($F331="","",$H331*$I331/100)</f>
        <v/>
      </c>
      <c r="K331" s="18" t="n"/>
      <c r="L331" s="35">
        <f>IF($F331="","",$F331*$K331/100)</f>
        <v/>
      </c>
      <c r="M331" s="20">
        <f>IF($A331="","",ROUNDUP(MONTH($A331)/3,0))</f>
        <v/>
      </c>
    </row>
    <row r="332">
      <c r="A332" s="33" t="n"/>
      <c r="B332" s="16" t="n"/>
      <c r="C332" s="16" t="n"/>
      <c r="D332" s="16" t="n"/>
      <c r="E332" s="16" t="n"/>
      <c r="F332" s="34" t="n"/>
      <c r="G332" s="18" t="n"/>
      <c r="H332" s="35">
        <f>IF($F332="","",$F332*$G332/100)</f>
        <v/>
      </c>
      <c r="I332" s="18" t="n"/>
      <c r="J332" s="35">
        <f>IF($F332="","",$H332*$I332/100)</f>
        <v/>
      </c>
      <c r="K332" s="18" t="n"/>
      <c r="L332" s="35">
        <f>IF($F332="","",$F332*$K332/100)</f>
        <v/>
      </c>
      <c r="M332" s="20">
        <f>IF($A332="","",ROUNDUP(MONTH($A332)/3,0))</f>
        <v/>
      </c>
    </row>
    <row r="333">
      <c r="A333" s="33" t="n"/>
      <c r="B333" s="16" t="n"/>
      <c r="C333" s="16" t="n"/>
      <c r="D333" s="16" t="n"/>
      <c r="E333" s="16" t="n"/>
      <c r="F333" s="34" t="n"/>
      <c r="G333" s="18" t="n"/>
      <c r="H333" s="35">
        <f>IF($F333="","",$F333*$G333/100)</f>
        <v/>
      </c>
      <c r="I333" s="18" t="n"/>
      <c r="J333" s="35">
        <f>IF($F333="","",$H333*$I333/100)</f>
        <v/>
      </c>
      <c r="K333" s="18" t="n"/>
      <c r="L333" s="35">
        <f>IF($F333="","",$F333*$K333/100)</f>
        <v/>
      </c>
      <c r="M333" s="20">
        <f>IF($A333="","",ROUNDUP(MONTH($A333)/3,0))</f>
        <v/>
      </c>
    </row>
    <row r="334">
      <c r="A334" s="33" t="n"/>
      <c r="B334" s="16" t="n"/>
      <c r="C334" s="16" t="n"/>
      <c r="D334" s="16" t="n"/>
      <c r="E334" s="16" t="n"/>
      <c r="F334" s="34" t="n"/>
      <c r="G334" s="18" t="n"/>
      <c r="H334" s="35">
        <f>IF($F334="","",$F334*$G334/100)</f>
        <v/>
      </c>
      <c r="I334" s="18" t="n"/>
      <c r="J334" s="35">
        <f>IF($F334="","",$H334*$I334/100)</f>
        <v/>
      </c>
      <c r="K334" s="18" t="n"/>
      <c r="L334" s="35">
        <f>IF($F334="","",$F334*$K334/100)</f>
        <v/>
      </c>
      <c r="M334" s="20">
        <f>IF($A334="","",ROUNDUP(MONTH($A334)/3,0))</f>
        <v/>
      </c>
    </row>
    <row r="335">
      <c r="A335" s="33" t="n"/>
      <c r="B335" s="16" t="n"/>
      <c r="C335" s="16" t="n"/>
      <c r="D335" s="16" t="n"/>
      <c r="E335" s="16" t="n"/>
      <c r="F335" s="34" t="n"/>
      <c r="G335" s="18" t="n"/>
      <c r="H335" s="35">
        <f>IF($F335="","",$F335*$G335/100)</f>
        <v/>
      </c>
      <c r="I335" s="18" t="n"/>
      <c r="J335" s="35">
        <f>IF($F335="","",$H335*$I335/100)</f>
        <v/>
      </c>
      <c r="K335" s="18" t="n"/>
      <c r="L335" s="35">
        <f>IF($F335="","",$F335*$K335/100)</f>
        <v/>
      </c>
      <c r="M335" s="20">
        <f>IF($A335="","",ROUNDUP(MONTH($A335)/3,0))</f>
        <v/>
      </c>
    </row>
    <row r="336">
      <c r="A336" s="33" t="n"/>
      <c r="B336" s="16" t="n"/>
      <c r="C336" s="16" t="n"/>
      <c r="D336" s="16" t="n"/>
      <c r="E336" s="16" t="n"/>
      <c r="F336" s="34" t="n"/>
      <c r="G336" s="18" t="n"/>
      <c r="H336" s="35">
        <f>IF($F336="","",$F336*$G336/100)</f>
        <v/>
      </c>
      <c r="I336" s="18" t="n"/>
      <c r="J336" s="35">
        <f>IF($F336="","",$H336*$I336/100)</f>
        <v/>
      </c>
      <c r="K336" s="18" t="n"/>
      <c r="L336" s="35">
        <f>IF($F336="","",$F336*$K336/100)</f>
        <v/>
      </c>
      <c r="M336" s="20">
        <f>IF($A336="","",ROUNDUP(MONTH($A336)/3,0))</f>
        <v/>
      </c>
    </row>
    <row r="337">
      <c r="A337" s="33" t="n"/>
      <c r="B337" s="16" t="n"/>
      <c r="C337" s="16" t="n"/>
      <c r="D337" s="16" t="n"/>
      <c r="E337" s="16" t="n"/>
      <c r="F337" s="34" t="n"/>
      <c r="G337" s="18" t="n"/>
      <c r="H337" s="35">
        <f>IF($F337="","",$F337*$G337/100)</f>
        <v/>
      </c>
      <c r="I337" s="18" t="n"/>
      <c r="J337" s="35">
        <f>IF($F337="","",$H337*$I337/100)</f>
        <v/>
      </c>
      <c r="K337" s="18" t="n"/>
      <c r="L337" s="35">
        <f>IF($F337="","",$F337*$K337/100)</f>
        <v/>
      </c>
      <c r="M337" s="20">
        <f>IF($A337="","",ROUNDUP(MONTH($A337)/3,0))</f>
        <v/>
      </c>
    </row>
    <row r="338">
      <c r="A338" s="33" t="n"/>
      <c r="B338" s="16" t="n"/>
      <c r="C338" s="16" t="n"/>
      <c r="D338" s="16" t="n"/>
      <c r="E338" s="16" t="n"/>
      <c r="F338" s="34" t="n"/>
      <c r="G338" s="18" t="n"/>
      <c r="H338" s="35">
        <f>IF($F338="","",$F338*$G338/100)</f>
        <v/>
      </c>
      <c r="I338" s="18" t="n"/>
      <c r="J338" s="35">
        <f>IF($F338="","",$H338*$I338/100)</f>
        <v/>
      </c>
      <c r="K338" s="18" t="n"/>
      <c r="L338" s="35">
        <f>IF($F338="","",$F338*$K338/100)</f>
        <v/>
      </c>
      <c r="M338" s="20">
        <f>IF($A338="","",ROUNDUP(MONTH($A338)/3,0))</f>
        <v/>
      </c>
    </row>
    <row r="339">
      <c r="A339" s="33" t="n"/>
      <c r="B339" s="16" t="n"/>
      <c r="C339" s="16" t="n"/>
      <c r="D339" s="16" t="n"/>
      <c r="E339" s="16" t="n"/>
      <c r="F339" s="34" t="n"/>
      <c r="G339" s="18" t="n"/>
      <c r="H339" s="35">
        <f>IF($F339="","",$F339*$G339/100)</f>
        <v/>
      </c>
      <c r="I339" s="18" t="n"/>
      <c r="J339" s="35">
        <f>IF($F339="","",$H339*$I339/100)</f>
        <v/>
      </c>
      <c r="K339" s="18" t="n"/>
      <c r="L339" s="35">
        <f>IF($F339="","",$F339*$K339/100)</f>
        <v/>
      </c>
      <c r="M339" s="20">
        <f>IF($A339="","",ROUNDUP(MONTH($A339)/3,0))</f>
        <v/>
      </c>
    </row>
    <row r="340">
      <c r="A340" s="33" t="n"/>
      <c r="B340" s="16" t="n"/>
      <c r="C340" s="16" t="n"/>
      <c r="D340" s="16" t="n"/>
      <c r="E340" s="16" t="n"/>
      <c r="F340" s="34" t="n"/>
      <c r="G340" s="18" t="n"/>
      <c r="H340" s="35">
        <f>IF($F340="","",$F340*$G340/100)</f>
        <v/>
      </c>
      <c r="I340" s="18" t="n"/>
      <c r="J340" s="35">
        <f>IF($F340="","",$H340*$I340/100)</f>
        <v/>
      </c>
      <c r="K340" s="18" t="n"/>
      <c r="L340" s="35">
        <f>IF($F340="","",$F340*$K340/100)</f>
        <v/>
      </c>
      <c r="M340" s="20">
        <f>IF($A340="","",ROUNDUP(MONTH($A340)/3,0))</f>
        <v/>
      </c>
    </row>
    <row r="341">
      <c r="A341" s="33" t="n"/>
      <c r="B341" s="16" t="n"/>
      <c r="C341" s="16" t="n"/>
      <c r="D341" s="16" t="n"/>
      <c r="E341" s="16" t="n"/>
      <c r="F341" s="34" t="n"/>
      <c r="G341" s="18" t="n"/>
      <c r="H341" s="35">
        <f>IF($F341="","",$F341*$G341/100)</f>
        <v/>
      </c>
      <c r="I341" s="18" t="n"/>
      <c r="J341" s="35">
        <f>IF($F341="","",$H341*$I341/100)</f>
        <v/>
      </c>
      <c r="K341" s="18" t="n"/>
      <c r="L341" s="35">
        <f>IF($F341="","",$F341*$K341/100)</f>
        <v/>
      </c>
      <c r="M341" s="20">
        <f>IF($A341="","",ROUNDUP(MONTH($A341)/3,0))</f>
        <v/>
      </c>
    </row>
    <row r="342">
      <c r="A342" s="33" t="n"/>
      <c r="B342" s="16" t="n"/>
      <c r="C342" s="16" t="n"/>
      <c r="D342" s="16" t="n"/>
      <c r="E342" s="16" t="n"/>
      <c r="F342" s="34" t="n"/>
      <c r="G342" s="18" t="n"/>
      <c r="H342" s="35">
        <f>IF($F342="","",$F342*$G342/100)</f>
        <v/>
      </c>
      <c r="I342" s="18" t="n"/>
      <c r="J342" s="35">
        <f>IF($F342="","",$H342*$I342/100)</f>
        <v/>
      </c>
      <c r="K342" s="18" t="n"/>
      <c r="L342" s="35">
        <f>IF($F342="","",$F342*$K342/100)</f>
        <v/>
      </c>
      <c r="M342" s="20">
        <f>IF($A342="","",ROUNDUP(MONTH($A342)/3,0))</f>
        <v/>
      </c>
    </row>
    <row r="343">
      <c r="A343" s="33" t="n"/>
      <c r="B343" s="16" t="n"/>
      <c r="C343" s="16" t="n"/>
      <c r="D343" s="16" t="n"/>
      <c r="E343" s="16" t="n"/>
      <c r="F343" s="34" t="n"/>
      <c r="G343" s="18" t="n"/>
      <c r="H343" s="35">
        <f>IF($F343="","",$F343*$G343/100)</f>
        <v/>
      </c>
      <c r="I343" s="18" t="n"/>
      <c r="J343" s="35">
        <f>IF($F343="","",$H343*$I343/100)</f>
        <v/>
      </c>
      <c r="K343" s="18" t="n"/>
      <c r="L343" s="35">
        <f>IF($F343="","",$F343*$K343/100)</f>
        <v/>
      </c>
      <c r="M343" s="20">
        <f>IF($A343="","",ROUNDUP(MONTH($A343)/3,0))</f>
        <v/>
      </c>
    </row>
    <row r="344">
      <c r="A344" s="33" t="n"/>
      <c r="B344" s="16" t="n"/>
      <c r="C344" s="16" t="n"/>
      <c r="D344" s="16" t="n"/>
      <c r="E344" s="16" t="n"/>
      <c r="F344" s="34" t="n"/>
      <c r="G344" s="18" t="n"/>
      <c r="H344" s="35">
        <f>IF($F344="","",$F344*$G344/100)</f>
        <v/>
      </c>
      <c r="I344" s="18" t="n"/>
      <c r="J344" s="35">
        <f>IF($F344="","",$H344*$I344/100)</f>
        <v/>
      </c>
      <c r="K344" s="18" t="n"/>
      <c r="L344" s="35">
        <f>IF($F344="","",$F344*$K344/100)</f>
        <v/>
      </c>
      <c r="M344" s="20">
        <f>IF($A344="","",ROUNDUP(MONTH($A344)/3,0))</f>
        <v/>
      </c>
    </row>
    <row r="345">
      <c r="A345" s="33" t="n"/>
      <c r="B345" s="16" t="n"/>
      <c r="C345" s="16" t="n"/>
      <c r="D345" s="16" t="n"/>
      <c r="E345" s="16" t="n"/>
      <c r="F345" s="34" t="n"/>
      <c r="G345" s="18" t="n"/>
      <c r="H345" s="35">
        <f>IF($F345="","",$F345*$G345/100)</f>
        <v/>
      </c>
      <c r="I345" s="18" t="n"/>
      <c r="J345" s="35">
        <f>IF($F345="","",$H345*$I345/100)</f>
        <v/>
      </c>
      <c r="K345" s="18" t="n"/>
      <c r="L345" s="35">
        <f>IF($F345="","",$F345*$K345/100)</f>
        <v/>
      </c>
      <c r="M345" s="20">
        <f>IF($A345="","",ROUNDUP(MONTH($A345)/3,0))</f>
        <v/>
      </c>
    </row>
    <row r="346">
      <c r="A346" s="33" t="n"/>
      <c r="B346" s="16" t="n"/>
      <c r="C346" s="16" t="n"/>
      <c r="D346" s="16" t="n"/>
      <c r="E346" s="16" t="n"/>
      <c r="F346" s="34" t="n"/>
      <c r="G346" s="18" t="n"/>
      <c r="H346" s="35">
        <f>IF($F346="","",$F346*$G346/100)</f>
        <v/>
      </c>
      <c r="I346" s="18" t="n"/>
      <c r="J346" s="35">
        <f>IF($F346="","",$H346*$I346/100)</f>
        <v/>
      </c>
      <c r="K346" s="18" t="n"/>
      <c r="L346" s="35">
        <f>IF($F346="","",$F346*$K346/100)</f>
        <v/>
      </c>
      <c r="M346" s="20">
        <f>IF($A346="","",ROUNDUP(MONTH($A346)/3,0))</f>
        <v/>
      </c>
    </row>
    <row r="347">
      <c r="A347" s="33" t="n"/>
      <c r="B347" s="16" t="n"/>
      <c r="C347" s="16" t="n"/>
      <c r="D347" s="16" t="n"/>
      <c r="E347" s="16" t="n"/>
      <c r="F347" s="34" t="n"/>
      <c r="G347" s="18" t="n"/>
      <c r="H347" s="35">
        <f>IF($F347="","",$F347*$G347/100)</f>
        <v/>
      </c>
      <c r="I347" s="18" t="n"/>
      <c r="J347" s="35">
        <f>IF($F347="","",$H347*$I347/100)</f>
        <v/>
      </c>
      <c r="K347" s="18" t="n"/>
      <c r="L347" s="35">
        <f>IF($F347="","",$F347*$K347/100)</f>
        <v/>
      </c>
      <c r="M347" s="20">
        <f>IF($A347="","",ROUNDUP(MONTH($A347)/3,0))</f>
        <v/>
      </c>
    </row>
    <row r="348">
      <c r="A348" s="33" t="n"/>
      <c r="B348" s="16" t="n"/>
      <c r="C348" s="16" t="n"/>
      <c r="D348" s="16" t="n"/>
      <c r="E348" s="16" t="n"/>
      <c r="F348" s="34" t="n"/>
      <c r="G348" s="18" t="n"/>
      <c r="H348" s="35">
        <f>IF($F348="","",$F348*$G348/100)</f>
        <v/>
      </c>
      <c r="I348" s="18" t="n"/>
      <c r="J348" s="35">
        <f>IF($F348="","",$H348*$I348/100)</f>
        <v/>
      </c>
      <c r="K348" s="18" t="n"/>
      <c r="L348" s="35">
        <f>IF($F348="","",$F348*$K348/100)</f>
        <v/>
      </c>
      <c r="M348" s="20">
        <f>IF($A348="","",ROUNDUP(MONTH($A348)/3,0))</f>
        <v/>
      </c>
    </row>
    <row r="349">
      <c r="A349" s="33" t="n"/>
      <c r="B349" s="16" t="n"/>
      <c r="C349" s="16" t="n"/>
      <c r="D349" s="16" t="n"/>
      <c r="E349" s="16" t="n"/>
      <c r="F349" s="34" t="n"/>
      <c r="G349" s="18" t="n"/>
      <c r="H349" s="35">
        <f>IF($F349="","",$F349*$G349/100)</f>
        <v/>
      </c>
      <c r="I349" s="18" t="n"/>
      <c r="J349" s="35">
        <f>IF($F349="","",$H349*$I349/100)</f>
        <v/>
      </c>
      <c r="K349" s="18" t="n"/>
      <c r="L349" s="35">
        <f>IF($F349="","",$F349*$K349/100)</f>
        <v/>
      </c>
      <c r="M349" s="20">
        <f>IF($A349="","",ROUNDUP(MONTH($A349)/3,0))</f>
        <v/>
      </c>
    </row>
    <row r="350">
      <c r="A350" s="33" t="n"/>
      <c r="B350" s="16" t="n"/>
      <c r="C350" s="16" t="n"/>
      <c r="D350" s="16" t="n"/>
      <c r="E350" s="16" t="n"/>
      <c r="F350" s="34" t="n"/>
      <c r="G350" s="18" t="n"/>
      <c r="H350" s="35">
        <f>IF($F350="","",$F350*$G350/100)</f>
        <v/>
      </c>
      <c r="I350" s="18" t="n"/>
      <c r="J350" s="35">
        <f>IF($F350="","",$H350*$I350/100)</f>
        <v/>
      </c>
      <c r="K350" s="18" t="n"/>
      <c r="L350" s="35">
        <f>IF($F350="","",$F350*$K350/100)</f>
        <v/>
      </c>
      <c r="M350" s="20">
        <f>IF($A350="","",ROUNDUP(MONTH($A350)/3,0))</f>
        <v/>
      </c>
    </row>
    <row r="351">
      <c r="A351" s="33" t="n"/>
      <c r="B351" s="16" t="n"/>
      <c r="C351" s="16" t="n"/>
      <c r="D351" s="16" t="n"/>
      <c r="E351" s="16" t="n"/>
      <c r="F351" s="34" t="n"/>
      <c r="G351" s="18" t="n"/>
      <c r="H351" s="35">
        <f>IF($F351="","",$F351*$G351/100)</f>
        <v/>
      </c>
      <c r="I351" s="18" t="n"/>
      <c r="J351" s="35">
        <f>IF($F351="","",$H351*$I351/100)</f>
        <v/>
      </c>
      <c r="K351" s="18" t="n"/>
      <c r="L351" s="35">
        <f>IF($F351="","",$F351*$K351/100)</f>
        <v/>
      </c>
      <c r="M351" s="20">
        <f>IF($A351="","",ROUNDUP(MONTH($A351)/3,0))</f>
        <v/>
      </c>
    </row>
    <row r="352">
      <c r="A352" s="33" t="n"/>
      <c r="B352" s="16" t="n"/>
      <c r="C352" s="16" t="n"/>
      <c r="D352" s="16" t="n"/>
      <c r="E352" s="16" t="n"/>
      <c r="F352" s="34" t="n"/>
      <c r="G352" s="18" t="n"/>
      <c r="H352" s="35">
        <f>IF($F352="","",$F352*$G352/100)</f>
        <v/>
      </c>
      <c r="I352" s="18" t="n"/>
      <c r="J352" s="35">
        <f>IF($F352="","",$H352*$I352/100)</f>
        <v/>
      </c>
      <c r="K352" s="18" t="n"/>
      <c r="L352" s="35">
        <f>IF($F352="","",$F352*$K352/100)</f>
        <v/>
      </c>
      <c r="M352" s="20">
        <f>IF($A352="","",ROUNDUP(MONTH($A352)/3,0))</f>
        <v/>
      </c>
    </row>
    <row r="353">
      <c r="A353" s="33" t="n"/>
      <c r="B353" s="16" t="n"/>
      <c r="C353" s="16" t="n"/>
      <c r="D353" s="16" t="n"/>
      <c r="E353" s="16" t="n"/>
      <c r="F353" s="34" t="n"/>
      <c r="G353" s="18" t="n"/>
      <c r="H353" s="35">
        <f>IF($F353="","",$F353*$G353/100)</f>
        <v/>
      </c>
      <c r="I353" s="18" t="n"/>
      <c r="J353" s="35">
        <f>IF($F353="","",$H353*$I353/100)</f>
        <v/>
      </c>
      <c r="K353" s="18" t="n"/>
      <c r="L353" s="35">
        <f>IF($F353="","",$F353*$K353/100)</f>
        <v/>
      </c>
      <c r="M353" s="20">
        <f>IF($A353="","",ROUNDUP(MONTH($A353)/3,0))</f>
        <v/>
      </c>
    </row>
    <row r="354">
      <c r="A354" s="33" t="n"/>
      <c r="B354" s="16" t="n"/>
      <c r="C354" s="16" t="n"/>
      <c r="D354" s="16" t="n"/>
      <c r="E354" s="16" t="n"/>
      <c r="F354" s="34" t="n"/>
      <c r="G354" s="18" t="n"/>
      <c r="H354" s="35">
        <f>IF($F354="","",$F354*$G354/100)</f>
        <v/>
      </c>
      <c r="I354" s="18" t="n"/>
      <c r="J354" s="35">
        <f>IF($F354="","",$H354*$I354/100)</f>
        <v/>
      </c>
      <c r="K354" s="18" t="n"/>
      <c r="L354" s="35">
        <f>IF($F354="","",$F354*$K354/100)</f>
        <v/>
      </c>
      <c r="M354" s="20">
        <f>IF($A354="","",ROUNDUP(MONTH($A354)/3,0))</f>
        <v/>
      </c>
    </row>
    <row r="355">
      <c r="A355" s="33" t="n"/>
      <c r="B355" s="16" t="n"/>
      <c r="C355" s="16" t="n"/>
      <c r="D355" s="16" t="n"/>
      <c r="E355" s="16" t="n"/>
      <c r="F355" s="34" t="n"/>
      <c r="G355" s="18" t="n"/>
      <c r="H355" s="35">
        <f>IF($F355="","",$F355*$G355/100)</f>
        <v/>
      </c>
      <c r="I355" s="18" t="n"/>
      <c r="J355" s="35">
        <f>IF($F355="","",$H355*$I355/100)</f>
        <v/>
      </c>
      <c r="K355" s="18" t="n"/>
      <c r="L355" s="35">
        <f>IF($F355="","",$F355*$K355/100)</f>
        <v/>
      </c>
      <c r="M355" s="20">
        <f>IF($A355="","",ROUNDUP(MONTH($A355)/3,0))</f>
        <v/>
      </c>
    </row>
    <row r="356">
      <c r="A356" s="33" t="n"/>
      <c r="B356" s="16" t="n"/>
      <c r="C356" s="16" t="n"/>
      <c r="D356" s="16" t="n"/>
      <c r="E356" s="16" t="n"/>
      <c r="F356" s="34" t="n"/>
      <c r="G356" s="18" t="n"/>
      <c r="H356" s="35">
        <f>IF($F356="","",$F356*$G356/100)</f>
        <v/>
      </c>
      <c r="I356" s="18" t="n"/>
      <c r="J356" s="35">
        <f>IF($F356="","",$H356*$I356/100)</f>
        <v/>
      </c>
      <c r="K356" s="18" t="n"/>
      <c r="L356" s="35">
        <f>IF($F356="","",$F356*$K356/100)</f>
        <v/>
      </c>
      <c r="M356" s="20">
        <f>IF($A356="","",ROUNDUP(MONTH($A356)/3,0))</f>
        <v/>
      </c>
    </row>
    <row r="357">
      <c r="A357" s="33" t="n"/>
      <c r="B357" s="16" t="n"/>
      <c r="C357" s="16" t="n"/>
      <c r="D357" s="16" t="n"/>
      <c r="E357" s="16" t="n"/>
      <c r="F357" s="34" t="n"/>
      <c r="G357" s="18" t="n"/>
      <c r="H357" s="35">
        <f>IF($F357="","",$F357*$G357/100)</f>
        <v/>
      </c>
      <c r="I357" s="18" t="n"/>
      <c r="J357" s="35">
        <f>IF($F357="","",$H357*$I357/100)</f>
        <v/>
      </c>
      <c r="K357" s="18" t="n"/>
      <c r="L357" s="35">
        <f>IF($F357="","",$F357*$K357/100)</f>
        <v/>
      </c>
      <c r="M357" s="20">
        <f>IF($A357="","",ROUNDUP(MONTH($A357)/3,0))</f>
        <v/>
      </c>
    </row>
    <row r="358">
      <c r="A358" s="33" t="n"/>
      <c r="B358" s="16" t="n"/>
      <c r="C358" s="16" t="n"/>
      <c r="D358" s="16" t="n"/>
      <c r="E358" s="16" t="n"/>
      <c r="F358" s="34" t="n"/>
      <c r="G358" s="18" t="n"/>
      <c r="H358" s="35">
        <f>IF($F358="","",$F358*$G358/100)</f>
        <v/>
      </c>
      <c r="I358" s="18" t="n"/>
      <c r="J358" s="35">
        <f>IF($F358="","",$H358*$I358/100)</f>
        <v/>
      </c>
      <c r="K358" s="18" t="n"/>
      <c r="L358" s="35">
        <f>IF($F358="","",$F358*$K358/100)</f>
        <v/>
      </c>
      <c r="M358" s="20">
        <f>IF($A358="","",ROUNDUP(MONTH($A358)/3,0))</f>
        <v/>
      </c>
    </row>
    <row r="359">
      <c r="A359" s="33" t="n"/>
      <c r="B359" s="16" t="n"/>
      <c r="C359" s="16" t="n"/>
      <c r="D359" s="16" t="n"/>
      <c r="E359" s="16" t="n"/>
      <c r="F359" s="34" t="n"/>
      <c r="G359" s="18" t="n"/>
      <c r="H359" s="35">
        <f>IF($F359="","",$F359*$G359/100)</f>
        <v/>
      </c>
      <c r="I359" s="18" t="n"/>
      <c r="J359" s="35">
        <f>IF($F359="","",$H359*$I359/100)</f>
        <v/>
      </c>
      <c r="K359" s="18" t="n"/>
      <c r="L359" s="35">
        <f>IF($F359="","",$F359*$K359/100)</f>
        <v/>
      </c>
      <c r="M359" s="20">
        <f>IF($A359="","",ROUNDUP(MONTH($A359)/3,0))</f>
        <v/>
      </c>
    </row>
    <row r="360">
      <c r="A360" s="33" t="n"/>
      <c r="B360" s="16" t="n"/>
      <c r="C360" s="16" t="n"/>
      <c r="D360" s="16" t="n"/>
      <c r="E360" s="16" t="n"/>
      <c r="F360" s="34" t="n"/>
      <c r="G360" s="18" t="n"/>
      <c r="H360" s="35">
        <f>IF($F360="","",$F360*$G360/100)</f>
        <v/>
      </c>
      <c r="I360" s="18" t="n"/>
      <c r="J360" s="35">
        <f>IF($F360="","",$H360*$I360/100)</f>
        <v/>
      </c>
      <c r="K360" s="18" t="n"/>
      <c r="L360" s="35">
        <f>IF($F360="","",$F360*$K360/100)</f>
        <v/>
      </c>
      <c r="M360" s="20">
        <f>IF($A360="","",ROUNDUP(MONTH($A360)/3,0))</f>
        <v/>
      </c>
    </row>
    <row r="361">
      <c r="A361" s="33" t="n"/>
      <c r="B361" s="16" t="n"/>
      <c r="C361" s="16" t="n"/>
      <c r="D361" s="16" t="n"/>
      <c r="E361" s="16" t="n"/>
      <c r="F361" s="34" t="n"/>
      <c r="G361" s="18" t="n"/>
      <c r="H361" s="35">
        <f>IF($F361="","",$F361*$G361/100)</f>
        <v/>
      </c>
      <c r="I361" s="18" t="n"/>
      <c r="J361" s="35">
        <f>IF($F361="","",$H361*$I361/100)</f>
        <v/>
      </c>
      <c r="K361" s="18" t="n"/>
      <c r="L361" s="35">
        <f>IF($F361="","",$F361*$K361/100)</f>
        <v/>
      </c>
      <c r="M361" s="20">
        <f>IF($A361="","",ROUNDUP(MONTH($A361)/3,0))</f>
        <v/>
      </c>
    </row>
    <row r="362">
      <c r="A362" s="33" t="n"/>
      <c r="B362" s="16" t="n"/>
      <c r="C362" s="16" t="n"/>
      <c r="D362" s="16" t="n"/>
      <c r="E362" s="16" t="n"/>
      <c r="F362" s="34" t="n"/>
      <c r="G362" s="18" t="n"/>
      <c r="H362" s="35">
        <f>IF($F362="","",$F362*$G362/100)</f>
        <v/>
      </c>
      <c r="I362" s="18" t="n"/>
      <c r="J362" s="35">
        <f>IF($F362="","",$H362*$I362/100)</f>
        <v/>
      </c>
      <c r="K362" s="18" t="n"/>
      <c r="L362" s="35">
        <f>IF($F362="","",$F362*$K362/100)</f>
        <v/>
      </c>
      <c r="M362" s="20">
        <f>IF($A362="","",ROUNDUP(MONTH($A362)/3,0))</f>
        <v/>
      </c>
    </row>
    <row r="363">
      <c r="A363" s="33" t="n"/>
      <c r="B363" s="16" t="n"/>
      <c r="C363" s="16" t="n"/>
      <c r="D363" s="16" t="n"/>
      <c r="E363" s="16" t="n"/>
      <c r="F363" s="34" t="n"/>
      <c r="G363" s="18" t="n"/>
      <c r="H363" s="35">
        <f>IF($F363="","",$F363*$G363/100)</f>
        <v/>
      </c>
      <c r="I363" s="18" t="n"/>
      <c r="J363" s="35">
        <f>IF($F363="","",$H363*$I363/100)</f>
        <v/>
      </c>
      <c r="K363" s="18" t="n"/>
      <c r="L363" s="35">
        <f>IF($F363="","",$F363*$K363/100)</f>
        <v/>
      </c>
      <c r="M363" s="20">
        <f>IF($A363="","",ROUNDUP(MONTH($A363)/3,0))</f>
        <v/>
      </c>
    </row>
    <row r="364">
      <c r="A364" s="33" t="n"/>
      <c r="B364" s="16" t="n"/>
      <c r="C364" s="16" t="n"/>
      <c r="D364" s="16" t="n"/>
      <c r="E364" s="16" t="n"/>
      <c r="F364" s="34" t="n"/>
      <c r="G364" s="18" t="n"/>
      <c r="H364" s="35">
        <f>IF($F364="","",$F364*$G364/100)</f>
        <v/>
      </c>
      <c r="I364" s="18" t="n"/>
      <c r="J364" s="35">
        <f>IF($F364="","",$H364*$I364/100)</f>
        <v/>
      </c>
      <c r="K364" s="18" t="n"/>
      <c r="L364" s="35">
        <f>IF($F364="","",$F364*$K364/100)</f>
        <v/>
      </c>
      <c r="M364" s="20">
        <f>IF($A364="","",ROUNDUP(MONTH($A364)/3,0))</f>
        <v/>
      </c>
    </row>
    <row r="365">
      <c r="A365" s="33" t="n"/>
      <c r="B365" s="16" t="n"/>
      <c r="C365" s="16" t="n"/>
      <c r="D365" s="16" t="n"/>
      <c r="E365" s="16" t="n"/>
      <c r="F365" s="34" t="n"/>
      <c r="G365" s="18" t="n"/>
      <c r="H365" s="35">
        <f>IF($F365="","",$F365*$G365/100)</f>
        <v/>
      </c>
      <c r="I365" s="18" t="n"/>
      <c r="J365" s="35">
        <f>IF($F365="","",$H365*$I365/100)</f>
        <v/>
      </c>
      <c r="K365" s="18" t="n"/>
      <c r="L365" s="35">
        <f>IF($F365="","",$F365*$K365/100)</f>
        <v/>
      </c>
      <c r="M365" s="20">
        <f>IF($A365="","",ROUNDUP(MONTH($A365)/3,0))</f>
        <v/>
      </c>
    </row>
    <row r="366">
      <c r="A366" s="33" t="n"/>
      <c r="B366" s="16" t="n"/>
      <c r="C366" s="16" t="n"/>
      <c r="D366" s="16" t="n"/>
      <c r="E366" s="16" t="n"/>
      <c r="F366" s="34" t="n"/>
      <c r="G366" s="18" t="n"/>
      <c r="H366" s="35">
        <f>IF($F366="","",$F366*$G366/100)</f>
        <v/>
      </c>
      <c r="I366" s="18" t="n"/>
      <c r="J366" s="35">
        <f>IF($F366="","",$H366*$I366/100)</f>
        <v/>
      </c>
      <c r="K366" s="18" t="n"/>
      <c r="L366" s="35">
        <f>IF($F366="","",$F366*$K366/100)</f>
        <v/>
      </c>
      <c r="M366" s="20">
        <f>IF($A366="","",ROUNDUP(MONTH($A366)/3,0))</f>
        <v/>
      </c>
    </row>
    <row r="367">
      <c r="A367" s="33" t="n"/>
      <c r="B367" s="16" t="n"/>
      <c r="C367" s="16" t="n"/>
      <c r="D367" s="16" t="n"/>
      <c r="E367" s="16" t="n"/>
      <c r="F367" s="34" t="n"/>
      <c r="G367" s="18" t="n"/>
      <c r="H367" s="35">
        <f>IF($F367="","",$F367*$G367/100)</f>
        <v/>
      </c>
      <c r="I367" s="18" t="n"/>
      <c r="J367" s="35">
        <f>IF($F367="","",$H367*$I367/100)</f>
        <v/>
      </c>
      <c r="K367" s="18" t="n"/>
      <c r="L367" s="35">
        <f>IF($F367="","",$F367*$K367/100)</f>
        <v/>
      </c>
      <c r="M367" s="20">
        <f>IF($A367="","",ROUNDUP(MONTH($A367)/3,0))</f>
        <v/>
      </c>
    </row>
    <row r="368">
      <c r="A368" s="33" t="n"/>
      <c r="B368" s="16" t="n"/>
      <c r="C368" s="16" t="n"/>
      <c r="D368" s="16" t="n"/>
      <c r="E368" s="16" t="n"/>
      <c r="F368" s="34" t="n"/>
      <c r="G368" s="18" t="n"/>
      <c r="H368" s="35">
        <f>IF($F368="","",$F368*$G368/100)</f>
        <v/>
      </c>
      <c r="I368" s="18" t="n"/>
      <c r="J368" s="35">
        <f>IF($F368="","",$H368*$I368/100)</f>
        <v/>
      </c>
      <c r="K368" s="18" t="n"/>
      <c r="L368" s="35">
        <f>IF($F368="","",$F368*$K368/100)</f>
        <v/>
      </c>
      <c r="M368" s="20">
        <f>IF($A368="","",ROUNDUP(MONTH($A368)/3,0))</f>
        <v/>
      </c>
    </row>
    <row r="369">
      <c r="A369" s="33" t="n"/>
      <c r="B369" s="16" t="n"/>
      <c r="C369" s="16" t="n"/>
      <c r="D369" s="16" t="n"/>
      <c r="E369" s="16" t="n"/>
      <c r="F369" s="34" t="n"/>
      <c r="G369" s="18" t="n"/>
      <c r="H369" s="35">
        <f>IF($F369="","",$F369*$G369/100)</f>
        <v/>
      </c>
      <c r="I369" s="18" t="n"/>
      <c r="J369" s="35">
        <f>IF($F369="","",$H369*$I369/100)</f>
        <v/>
      </c>
      <c r="K369" s="18" t="n"/>
      <c r="L369" s="35">
        <f>IF($F369="","",$F369*$K369/100)</f>
        <v/>
      </c>
      <c r="M369" s="20">
        <f>IF($A369="","",ROUNDUP(MONTH($A369)/3,0))</f>
        <v/>
      </c>
    </row>
    <row r="370">
      <c r="A370" s="33" t="n"/>
      <c r="B370" s="16" t="n"/>
      <c r="C370" s="16" t="n"/>
      <c r="D370" s="16" t="n"/>
      <c r="E370" s="16" t="n"/>
      <c r="F370" s="34" t="n"/>
      <c r="G370" s="18" t="n"/>
      <c r="H370" s="35">
        <f>IF($F370="","",$F370*$G370/100)</f>
        <v/>
      </c>
      <c r="I370" s="18" t="n"/>
      <c r="J370" s="35">
        <f>IF($F370="","",$H370*$I370/100)</f>
        <v/>
      </c>
      <c r="K370" s="18" t="n"/>
      <c r="L370" s="35">
        <f>IF($F370="","",$F370*$K370/100)</f>
        <v/>
      </c>
      <c r="M370" s="20">
        <f>IF($A370="","",ROUNDUP(MONTH($A370)/3,0))</f>
        <v/>
      </c>
    </row>
    <row r="371">
      <c r="A371" s="33" t="n"/>
      <c r="B371" s="16" t="n"/>
      <c r="C371" s="16" t="n"/>
      <c r="D371" s="16" t="n"/>
      <c r="E371" s="16" t="n"/>
      <c r="F371" s="34" t="n"/>
      <c r="G371" s="18" t="n"/>
      <c r="H371" s="35">
        <f>IF($F371="","",$F371*$G371/100)</f>
        <v/>
      </c>
      <c r="I371" s="18" t="n"/>
      <c r="J371" s="35">
        <f>IF($F371="","",$H371*$I371/100)</f>
        <v/>
      </c>
      <c r="K371" s="18" t="n"/>
      <c r="L371" s="35">
        <f>IF($F371="","",$F371*$K371/100)</f>
        <v/>
      </c>
      <c r="M371" s="20">
        <f>IF($A371="","",ROUNDUP(MONTH($A371)/3,0))</f>
        <v/>
      </c>
    </row>
    <row r="372">
      <c r="A372" s="33" t="n"/>
      <c r="B372" s="16" t="n"/>
      <c r="C372" s="16" t="n"/>
      <c r="D372" s="16" t="n"/>
      <c r="E372" s="16" t="n"/>
      <c r="F372" s="34" t="n"/>
      <c r="G372" s="18" t="n"/>
      <c r="H372" s="35">
        <f>IF($F372="","",$F372*$G372/100)</f>
        <v/>
      </c>
      <c r="I372" s="18" t="n"/>
      <c r="J372" s="35">
        <f>IF($F372="","",$H372*$I372/100)</f>
        <v/>
      </c>
      <c r="K372" s="18" t="n"/>
      <c r="L372" s="35">
        <f>IF($F372="","",$F372*$K372/100)</f>
        <v/>
      </c>
      <c r="M372" s="20">
        <f>IF($A372="","",ROUNDUP(MONTH($A372)/3,0))</f>
        <v/>
      </c>
    </row>
    <row r="373">
      <c r="A373" s="33" t="n"/>
      <c r="B373" s="16" t="n"/>
      <c r="C373" s="16" t="n"/>
      <c r="D373" s="16" t="n"/>
      <c r="E373" s="16" t="n"/>
      <c r="F373" s="34" t="n"/>
      <c r="G373" s="18" t="n"/>
      <c r="H373" s="35">
        <f>IF($F373="","",$F373*$G373/100)</f>
        <v/>
      </c>
      <c r="I373" s="18" t="n"/>
      <c r="J373" s="35">
        <f>IF($F373="","",$H373*$I373/100)</f>
        <v/>
      </c>
      <c r="K373" s="18" t="n"/>
      <c r="L373" s="35">
        <f>IF($F373="","",$F373*$K373/100)</f>
        <v/>
      </c>
      <c r="M373" s="20">
        <f>IF($A373="","",ROUNDUP(MONTH($A373)/3,0))</f>
        <v/>
      </c>
    </row>
    <row r="374">
      <c r="A374" s="33" t="n"/>
      <c r="B374" s="16" t="n"/>
      <c r="C374" s="16" t="n"/>
      <c r="D374" s="16" t="n"/>
      <c r="E374" s="16" t="n"/>
      <c r="F374" s="34" t="n"/>
      <c r="G374" s="18" t="n"/>
      <c r="H374" s="35">
        <f>IF($F374="","",$F374*$G374/100)</f>
        <v/>
      </c>
      <c r="I374" s="18" t="n"/>
      <c r="J374" s="35">
        <f>IF($F374="","",$H374*$I374/100)</f>
        <v/>
      </c>
      <c r="K374" s="18" t="n"/>
      <c r="L374" s="35">
        <f>IF($F374="","",$F374*$K374/100)</f>
        <v/>
      </c>
      <c r="M374" s="20">
        <f>IF($A374="","",ROUNDUP(MONTH($A374)/3,0))</f>
        <v/>
      </c>
    </row>
    <row r="375">
      <c r="A375" s="33" t="n"/>
      <c r="B375" s="16" t="n"/>
      <c r="C375" s="16" t="n"/>
      <c r="D375" s="16" t="n"/>
      <c r="E375" s="16" t="n"/>
      <c r="F375" s="34" t="n"/>
      <c r="G375" s="18" t="n"/>
      <c r="H375" s="35">
        <f>IF($F375="","",$F375*$G375/100)</f>
        <v/>
      </c>
      <c r="I375" s="18" t="n"/>
      <c r="J375" s="35">
        <f>IF($F375="","",$H375*$I375/100)</f>
        <v/>
      </c>
      <c r="K375" s="18" t="n"/>
      <c r="L375" s="35">
        <f>IF($F375="","",$F375*$K375/100)</f>
        <v/>
      </c>
      <c r="M375" s="20">
        <f>IF($A375="","",ROUNDUP(MONTH($A375)/3,0))</f>
        <v/>
      </c>
    </row>
    <row r="376">
      <c r="A376" s="33" t="n"/>
      <c r="B376" s="16" t="n"/>
      <c r="C376" s="16" t="n"/>
      <c r="D376" s="16" t="n"/>
      <c r="E376" s="16" t="n"/>
      <c r="F376" s="34" t="n"/>
      <c r="G376" s="18" t="n"/>
      <c r="H376" s="35">
        <f>IF($F376="","",$F376*$G376/100)</f>
        <v/>
      </c>
      <c r="I376" s="18" t="n"/>
      <c r="J376" s="35">
        <f>IF($F376="","",$H376*$I376/100)</f>
        <v/>
      </c>
      <c r="K376" s="18" t="n"/>
      <c r="L376" s="35">
        <f>IF($F376="","",$F376*$K376/100)</f>
        <v/>
      </c>
      <c r="M376" s="20">
        <f>IF($A376="","",ROUNDUP(MONTH($A376)/3,0))</f>
        <v/>
      </c>
    </row>
    <row r="377">
      <c r="A377" s="33" t="n"/>
      <c r="B377" s="16" t="n"/>
      <c r="C377" s="16" t="n"/>
      <c r="D377" s="16" t="n"/>
      <c r="E377" s="16" t="n"/>
      <c r="F377" s="34" t="n"/>
      <c r="G377" s="18" t="n"/>
      <c r="H377" s="35">
        <f>IF($F377="","",$F377*$G377/100)</f>
        <v/>
      </c>
      <c r="I377" s="18" t="n"/>
      <c r="J377" s="35">
        <f>IF($F377="","",$H377*$I377/100)</f>
        <v/>
      </c>
      <c r="K377" s="18" t="n"/>
      <c r="L377" s="35">
        <f>IF($F377="","",$F377*$K377/100)</f>
        <v/>
      </c>
      <c r="M377" s="20">
        <f>IF($A377="","",ROUNDUP(MONTH($A377)/3,0))</f>
        <v/>
      </c>
    </row>
    <row r="378">
      <c r="A378" s="33" t="n"/>
      <c r="B378" s="16" t="n"/>
      <c r="C378" s="16" t="n"/>
      <c r="D378" s="16" t="n"/>
      <c r="E378" s="16" t="n"/>
      <c r="F378" s="34" t="n"/>
      <c r="G378" s="18" t="n"/>
      <c r="H378" s="35">
        <f>IF($F378="","",$F378*$G378/100)</f>
        <v/>
      </c>
      <c r="I378" s="18" t="n"/>
      <c r="J378" s="35">
        <f>IF($F378="","",$H378*$I378/100)</f>
        <v/>
      </c>
      <c r="K378" s="18" t="n"/>
      <c r="L378" s="35">
        <f>IF($F378="","",$F378*$K378/100)</f>
        <v/>
      </c>
      <c r="M378" s="20">
        <f>IF($A378="","",ROUNDUP(MONTH($A378)/3,0))</f>
        <v/>
      </c>
    </row>
    <row r="379">
      <c r="A379" s="33" t="n"/>
      <c r="B379" s="16" t="n"/>
      <c r="C379" s="16" t="n"/>
      <c r="D379" s="16" t="n"/>
      <c r="E379" s="16" t="n"/>
      <c r="F379" s="34" t="n"/>
      <c r="G379" s="18" t="n"/>
      <c r="H379" s="35">
        <f>IF($F379="","",$F379*$G379/100)</f>
        <v/>
      </c>
      <c r="I379" s="18" t="n"/>
      <c r="J379" s="35">
        <f>IF($F379="","",$H379*$I379/100)</f>
        <v/>
      </c>
      <c r="K379" s="18" t="n"/>
      <c r="L379" s="35">
        <f>IF($F379="","",$F379*$K379/100)</f>
        <v/>
      </c>
      <c r="M379" s="20">
        <f>IF($A379="","",ROUNDUP(MONTH($A379)/3,0))</f>
        <v/>
      </c>
    </row>
    <row r="380">
      <c r="A380" s="33" t="n"/>
      <c r="B380" s="16" t="n"/>
      <c r="C380" s="16" t="n"/>
      <c r="D380" s="16" t="n"/>
      <c r="E380" s="16" t="n"/>
      <c r="F380" s="34" t="n"/>
      <c r="G380" s="18" t="n"/>
      <c r="H380" s="35">
        <f>IF($F380="","",$F380*$G380/100)</f>
        <v/>
      </c>
      <c r="I380" s="18" t="n"/>
      <c r="J380" s="35">
        <f>IF($F380="","",$H380*$I380/100)</f>
        <v/>
      </c>
      <c r="K380" s="18" t="n"/>
      <c r="L380" s="35">
        <f>IF($F380="","",$F380*$K380/100)</f>
        <v/>
      </c>
      <c r="M380" s="20">
        <f>IF($A380="","",ROUNDUP(MONTH($A380)/3,0))</f>
        <v/>
      </c>
    </row>
    <row r="381">
      <c r="A381" s="33" t="n"/>
      <c r="B381" s="16" t="n"/>
      <c r="C381" s="16" t="n"/>
      <c r="D381" s="16" t="n"/>
      <c r="E381" s="16" t="n"/>
      <c r="F381" s="34" t="n"/>
      <c r="G381" s="18" t="n"/>
      <c r="H381" s="35">
        <f>IF($F381="","",$F381*$G381/100)</f>
        <v/>
      </c>
      <c r="I381" s="18" t="n"/>
      <c r="J381" s="35">
        <f>IF($F381="","",$H381*$I381/100)</f>
        <v/>
      </c>
      <c r="K381" s="18" t="n"/>
      <c r="L381" s="35">
        <f>IF($F381="","",$F381*$K381/100)</f>
        <v/>
      </c>
      <c r="M381" s="20">
        <f>IF($A381="","",ROUNDUP(MONTH($A381)/3,0))</f>
        <v/>
      </c>
    </row>
    <row r="382">
      <c r="A382" s="33" t="n"/>
      <c r="B382" s="16" t="n"/>
      <c r="C382" s="16" t="n"/>
      <c r="D382" s="16" t="n"/>
      <c r="E382" s="16" t="n"/>
      <c r="F382" s="34" t="n"/>
      <c r="G382" s="18" t="n"/>
      <c r="H382" s="35">
        <f>IF($F382="","",$F382*$G382/100)</f>
        <v/>
      </c>
      <c r="I382" s="18" t="n"/>
      <c r="J382" s="35">
        <f>IF($F382="","",$H382*$I382/100)</f>
        <v/>
      </c>
      <c r="K382" s="18" t="n"/>
      <c r="L382" s="35">
        <f>IF($F382="","",$F382*$K382/100)</f>
        <v/>
      </c>
      <c r="M382" s="20">
        <f>IF($A382="","",ROUNDUP(MONTH($A382)/3,0))</f>
        <v/>
      </c>
    </row>
    <row r="383">
      <c r="A383" s="33" t="n"/>
      <c r="B383" s="16" t="n"/>
      <c r="C383" s="16" t="n"/>
      <c r="D383" s="16" t="n"/>
      <c r="E383" s="16" t="n"/>
      <c r="F383" s="34" t="n"/>
      <c r="G383" s="18" t="n"/>
      <c r="H383" s="35">
        <f>IF($F383="","",$F383*$G383/100)</f>
        <v/>
      </c>
      <c r="I383" s="18" t="n"/>
      <c r="J383" s="35">
        <f>IF($F383="","",$H383*$I383/100)</f>
        <v/>
      </c>
      <c r="K383" s="18" t="n"/>
      <c r="L383" s="35">
        <f>IF($F383="","",$F383*$K383/100)</f>
        <v/>
      </c>
      <c r="M383" s="20">
        <f>IF($A383="","",ROUNDUP(MONTH($A383)/3,0))</f>
        <v/>
      </c>
    </row>
    <row r="384">
      <c r="A384" s="33" t="n"/>
      <c r="B384" s="16" t="n"/>
      <c r="C384" s="16" t="n"/>
      <c r="D384" s="16" t="n"/>
      <c r="E384" s="16" t="n"/>
      <c r="F384" s="34" t="n"/>
      <c r="G384" s="18" t="n"/>
      <c r="H384" s="35">
        <f>IF($F384="","",$F384*$G384/100)</f>
        <v/>
      </c>
      <c r="I384" s="18" t="n"/>
      <c r="J384" s="35">
        <f>IF($F384="","",$H384*$I384/100)</f>
        <v/>
      </c>
      <c r="K384" s="18" t="n"/>
      <c r="L384" s="35">
        <f>IF($F384="","",$F384*$K384/100)</f>
        <v/>
      </c>
      <c r="M384" s="20">
        <f>IF($A384="","",ROUNDUP(MONTH($A384)/3,0))</f>
        <v/>
      </c>
    </row>
    <row r="385">
      <c r="A385" s="33" t="n"/>
      <c r="B385" s="16" t="n"/>
      <c r="C385" s="16" t="n"/>
      <c r="D385" s="16" t="n"/>
      <c r="E385" s="16" t="n"/>
      <c r="F385" s="34" t="n"/>
      <c r="G385" s="18" t="n"/>
      <c r="H385" s="35">
        <f>IF($F385="","",$F385*$G385/100)</f>
        <v/>
      </c>
      <c r="I385" s="18" t="n"/>
      <c r="J385" s="35">
        <f>IF($F385="","",$H385*$I385/100)</f>
        <v/>
      </c>
      <c r="K385" s="18" t="n"/>
      <c r="L385" s="35">
        <f>IF($F385="","",$F385*$K385/100)</f>
        <v/>
      </c>
      <c r="M385" s="20">
        <f>IF($A385="","",ROUNDUP(MONTH($A385)/3,0))</f>
        <v/>
      </c>
    </row>
    <row r="386">
      <c r="A386" s="33" t="n"/>
      <c r="B386" s="16" t="n"/>
      <c r="C386" s="16" t="n"/>
      <c r="D386" s="16" t="n"/>
      <c r="E386" s="16" t="n"/>
      <c r="F386" s="34" t="n"/>
      <c r="G386" s="18" t="n"/>
      <c r="H386" s="35">
        <f>IF($F386="","",$F386*$G386/100)</f>
        <v/>
      </c>
      <c r="I386" s="18" t="n"/>
      <c r="J386" s="35">
        <f>IF($F386="","",$H386*$I386/100)</f>
        <v/>
      </c>
      <c r="K386" s="18" t="n"/>
      <c r="L386" s="35">
        <f>IF($F386="","",$F386*$K386/100)</f>
        <v/>
      </c>
      <c r="M386" s="20">
        <f>IF($A386="","",ROUNDUP(MONTH($A386)/3,0))</f>
        <v/>
      </c>
    </row>
    <row r="387">
      <c r="A387" s="33" t="n"/>
      <c r="B387" s="16" t="n"/>
      <c r="C387" s="16" t="n"/>
      <c r="D387" s="16" t="n"/>
      <c r="E387" s="16" t="n"/>
      <c r="F387" s="34" t="n"/>
      <c r="G387" s="18" t="n"/>
      <c r="H387" s="35">
        <f>IF($F387="","",$F387*$G387/100)</f>
        <v/>
      </c>
      <c r="I387" s="18" t="n"/>
      <c r="J387" s="35">
        <f>IF($F387="","",$H387*$I387/100)</f>
        <v/>
      </c>
      <c r="K387" s="18" t="n"/>
      <c r="L387" s="35">
        <f>IF($F387="","",$F387*$K387/100)</f>
        <v/>
      </c>
      <c r="M387" s="20">
        <f>IF($A387="","",ROUNDUP(MONTH($A387)/3,0))</f>
        <v/>
      </c>
    </row>
    <row r="388">
      <c r="A388" s="33" t="n"/>
      <c r="B388" s="16" t="n"/>
      <c r="C388" s="16" t="n"/>
      <c r="D388" s="16" t="n"/>
      <c r="E388" s="16" t="n"/>
      <c r="F388" s="34" t="n"/>
      <c r="G388" s="18" t="n"/>
      <c r="H388" s="35">
        <f>IF($F388="","",$F388*$G388/100)</f>
        <v/>
      </c>
      <c r="I388" s="18" t="n"/>
      <c r="J388" s="35">
        <f>IF($F388="","",$H388*$I388/100)</f>
        <v/>
      </c>
      <c r="K388" s="18" t="n"/>
      <c r="L388" s="35">
        <f>IF($F388="","",$F388*$K388/100)</f>
        <v/>
      </c>
      <c r="M388" s="20">
        <f>IF($A388="","",ROUNDUP(MONTH($A388)/3,0))</f>
        <v/>
      </c>
    </row>
    <row r="389">
      <c r="A389" s="33" t="n"/>
      <c r="B389" s="16" t="n"/>
      <c r="C389" s="16" t="n"/>
      <c r="D389" s="16" t="n"/>
      <c r="E389" s="16" t="n"/>
      <c r="F389" s="34" t="n"/>
      <c r="G389" s="18" t="n"/>
      <c r="H389" s="35">
        <f>IF($F389="","",$F389*$G389/100)</f>
        <v/>
      </c>
      <c r="I389" s="18" t="n"/>
      <c r="J389" s="35">
        <f>IF($F389="","",$H389*$I389/100)</f>
        <v/>
      </c>
      <c r="K389" s="18" t="n"/>
      <c r="L389" s="35">
        <f>IF($F389="","",$F389*$K389/100)</f>
        <v/>
      </c>
      <c r="M389" s="20">
        <f>IF($A389="","",ROUNDUP(MONTH($A389)/3,0))</f>
        <v/>
      </c>
    </row>
    <row r="390">
      <c r="A390" s="33" t="n"/>
      <c r="B390" s="16" t="n"/>
      <c r="C390" s="16" t="n"/>
      <c r="D390" s="16" t="n"/>
      <c r="E390" s="16" t="n"/>
      <c r="F390" s="34" t="n"/>
      <c r="G390" s="18" t="n"/>
      <c r="H390" s="35">
        <f>IF($F390="","",$F390*$G390/100)</f>
        <v/>
      </c>
      <c r="I390" s="18" t="n"/>
      <c r="J390" s="35">
        <f>IF($F390="","",$H390*$I390/100)</f>
        <v/>
      </c>
      <c r="K390" s="18" t="n"/>
      <c r="L390" s="35">
        <f>IF($F390="","",$F390*$K390/100)</f>
        <v/>
      </c>
      <c r="M390" s="20">
        <f>IF($A390="","",ROUNDUP(MONTH($A390)/3,0))</f>
        <v/>
      </c>
    </row>
    <row r="391">
      <c r="A391" s="33" t="n"/>
      <c r="B391" s="16" t="n"/>
      <c r="C391" s="16" t="n"/>
      <c r="D391" s="16" t="n"/>
      <c r="E391" s="16" t="n"/>
      <c r="F391" s="34" t="n"/>
      <c r="G391" s="18" t="n"/>
      <c r="H391" s="35">
        <f>IF($F391="","",$F391*$G391/100)</f>
        <v/>
      </c>
      <c r="I391" s="18" t="n"/>
      <c r="J391" s="35">
        <f>IF($F391="","",$H391*$I391/100)</f>
        <v/>
      </c>
      <c r="K391" s="18" t="n"/>
      <c r="L391" s="35">
        <f>IF($F391="","",$F391*$K391/100)</f>
        <v/>
      </c>
      <c r="M391" s="20">
        <f>IF($A391="","",ROUNDUP(MONTH($A391)/3,0))</f>
        <v/>
      </c>
    </row>
    <row r="392">
      <c r="A392" s="33" t="n"/>
      <c r="B392" s="16" t="n"/>
      <c r="C392" s="16" t="n"/>
      <c r="D392" s="16" t="n"/>
      <c r="E392" s="16" t="n"/>
      <c r="F392" s="34" t="n"/>
      <c r="G392" s="18" t="n"/>
      <c r="H392" s="35">
        <f>IF($F392="","",$F392*$G392/100)</f>
        <v/>
      </c>
      <c r="I392" s="18" t="n"/>
      <c r="J392" s="35">
        <f>IF($F392="","",$H392*$I392/100)</f>
        <v/>
      </c>
      <c r="K392" s="18" t="n"/>
      <c r="L392" s="35">
        <f>IF($F392="","",$F392*$K392/100)</f>
        <v/>
      </c>
      <c r="M392" s="20">
        <f>IF($A392="","",ROUNDUP(MONTH($A392)/3,0))</f>
        <v/>
      </c>
    </row>
    <row r="393">
      <c r="A393" s="33" t="n"/>
      <c r="B393" s="16" t="n"/>
      <c r="C393" s="16" t="n"/>
      <c r="D393" s="16" t="n"/>
      <c r="E393" s="16" t="n"/>
      <c r="F393" s="34" t="n"/>
      <c r="G393" s="18" t="n"/>
      <c r="H393" s="35">
        <f>IF($F393="","",$F393*$G393/100)</f>
        <v/>
      </c>
      <c r="I393" s="18" t="n"/>
      <c r="J393" s="35">
        <f>IF($F393="","",$H393*$I393/100)</f>
        <v/>
      </c>
      <c r="K393" s="18" t="n"/>
      <c r="L393" s="35">
        <f>IF($F393="","",$F393*$K393/100)</f>
        <v/>
      </c>
      <c r="M393" s="20">
        <f>IF($A393="","",ROUNDUP(MONTH($A393)/3,0))</f>
        <v/>
      </c>
    </row>
    <row r="394">
      <c r="A394" s="33" t="n"/>
      <c r="B394" s="16" t="n"/>
      <c r="C394" s="16" t="n"/>
      <c r="D394" s="16" t="n"/>
      <c r="E394" s="16" t="n"/>
      <c r="F394" s="34" t="n"/>
      <c r="G394" s="18" t="n"/>
      <c r="H394" s="35">
        <f>IF($F394="","",$F394*$G394/100)</f>
        <v/>
      </c>
      <c r="I394" s="18" t="n"/>
      <c r="J394" s="35">
        <f>IF($F394="","",$H394*$I394/100)</f>
        <v/>
      </c>
      <c r="K394" s="18" t="n"/>
      <c r="L394" s="35">
        <f>IF($F394="","",$F394*$K394/100)</f>
        <v/>
      </c>
      <c r="M394" s="20">
        <f>IF($A394="","",ROUNDUP(MONTH($A394)/3,0))</f>
        <v/>
      </c>
    </row>
    <row r="395">
      <c r="A395" s="33" t="n"/>
      <c r="B395" s="16" t="n"/>
      <c r="C395" s="16" t="n"/>
      <c r="D395" s="16" t="n"/>
      <c r="E395" s="16" t="n"/>
      <c r="F395" s="34" t="n"/>
      <c r="G395" s="18" t="n"/>
      <c r="H395" s="35">
        <f>IF($F395="","",$F395*$G395/100)</f>
        <v/>
      </c>
      <c r="I395" s="18" t="n"/>
      <c r="J395" s="35">
        <f>IF($F395="","",$H395*$I395/100)</f>
        <v/>
      </c>
      <c r="K395" s="18" t="n"/>
      <c r="L395" s="35">
        <f>IF($F395="","",$F395*$K395/100)</f>
        <v/>
      </c>
      <c r="M395" s="20">
        <f>IF($A395="","",ROUNDUP(MONTH($A395)/3,0))</f>
        <v/>
      </c>
    </row>
    <row r="396">
      <c r="A396" s="33" t="n"/>
      <c r="B396" s="16" t="n"/>
      <c r="C396" s="16" t="n"/>
      <c r="D396" s="16" t="n"/>
      <c r="E396" s="16" t="n"/>
      <c r="F396" s="34" t="n"/>
      <c r="G396" s="18" t="n"/>
      <c r="H396" s="35">
        <f>IF($F396="","",$F396*$G396/100)</f>
        <v/>
      </c>
      <c r="I396" s="18" t="n"/>
      <c r="J396" s="35">
        <f>IF($F396="","",$H396*$I396/100)</f>
        <v/>
      </c>
      <c r="K396" s="18" t="n"/>
      <c r="L396" s="35">
        <f>IF($F396="","",$F396*$K396/100)</f>
        <v/>
      </c>
      <c r="M396" s="20">
        <f>IF($A396="","",ROUNDUP(MONTH($A396)/3,0))</f>
        <v/>
      </c>
    </row>
    <row r="397">
      <c r="A397" s="33" t="n"/>
      <c r="B397" s="16" t="n"/>
      <c r="C397" s="16" t="n"/>
      <c r="D397" s="16" t="n"/>
      <c r="E397" s="16" t="n"/>
      <c r="F397" s="34" t="n"/>
      <c r="G397" s="18" t="n"/>
      <c r="H397" s="35">
        <f>IF($F397="","",$F397*$G397/100)</f>
        <v/>
      </c>
      <c r="I397" s="18" t="n"/>
      <c r="J397" s="35">
        <f>IF($F397="","",$H397*$I397/100)</f>
        <v/>
      </c>
      <c r="K397" s="18" t="n"/>
      <c r="L397" s="35">
        <f>IF($F397="","",$F397*$K397/100)</f>
        <v/>
      </c>
      <c r="M397" s="20">
        <f>IF($A397="","",ROUNDUP(MONTH($A397)/3,0))</f>
        <v/>
      </c>
    </row>
    <row r="398">
      <c r="A398" s="33" t="n"/>
      <c r="B398" s="16" t="n"/>
      <c r="C398" s="16" t="n"/>
      <c r="D398" s="16" t="n"/>
      <c r="E398" s="16" t="n"/>
      <c r="F398" s="34" t="n"/>
      <c r="G398" s="18" t="n"/>
      <c r="H398" s="35">
        <f>IF($F398="","",$F398*$G398/100)</f>
        <v/>
      </c>
      <c r="I398" s="18" t="n"/>
      <c r="J398" s="35">
        <f>IF($F398="","",$H398*$I398/100)</f>
        <v/>
      </c>
      <c r="K398" s="18" t="n"/>
      <c r="L398" s="35">
        <f>IF($F398="","",$F398*$K398/100)</f>
        <v/>
      </c>
      <c r="M398" s="20">
        <f>IF($A398="","",ROUNDUP(MONTH($A398)/3,0))</f>
        <v/>
      </c>
    </row>
    <row r="399">
      <c r="A399" s="33" t="n"/>
      <c r="B399" s="16" t="n"/>
      <c r="C399" s="16" t="n"/>
      <c r="D399" s="16" t="n"/>
      <c r="E399" s="16" t="n"/>
      <c r="F399" s="34" t="n"/>
      <c r="G399" s="18" t="n"/>
      <c r="H399" s="35">
        <f>IF($F399="","",$F399*$G399/100)</f>
        <v/>
      </c>
      <c r="I399" s="18" t="n"/>
      <c r="J399" s="35">
        <f>IF($F399="","",$H399*$I399/100)</f>
        <v/>
      </c>
      <c r="K399" s="18" t="n"/>
      <c r="L399" s="35">
        <f>IF($F399="","",$F399*$K399/100)</f>
        <v/>
      </c>
      <c r="M399" s="20">
        <f>IF($A399="","",ROUNDUP(MONTH($A399)/3,0))</f>
        <v/>
      </c>
    </row>
    <row r="400">
      <c r="A400" s="33" t="n"/>
      <c r="B400" s="16" t="n"/>
      <c r="C400" s="16" t="n"/>
      <c r="D400" s="16" t="n"/>
      <c r="E400" s="16" t="n"/>
      <c r="F400" s="34" t="n"/>
      <c r="G400" s="18" t="n"/>
      <c r="H400" s="35">
        <f>IF($F400="","",$F400*$G400/100)</f>
        <v/>
      </c>
      <c r="I400" s="18" t="n"/>
      <c r="J400" s="35">
        <f>IF($F400="","",$H400*$I400/100)</f>
        <v/>
      </c>
      <c r="K400" s="18" t="n"/>
      <c r="L400" s="35">
        <f>IF($F400="","",$F400*$K400/100)</f>
        <v/>
      </c>
      <c r="M400" s="20">
        <f>IF($A400="","",ROUNDUP(MONTH($A400)/3,0))</f>
        <v/>
      </c>
    </row>
    <row r="401">
      <c r="A401" s="33" t="n"/>
      <c r="B401" s="16" t="n"/>
      <c r="C401" s="16" t="n"/>
      <c r="D401" s="16" t="n"/>
      <c r="E401" s="16" t="n"/>
      <c r="F401" s="34" t="n"/>
      <c r="G401" s="18" t="n"/>
      <c r="H401" s="35">
        <f>IF($F401="","",$F401*$G401/100)</f>
        <v/>
      </c>
      <c r="I401" s="18" t="n"/>
      <c r="J401" s="35">
        <f>IF($F401="","",$H401*$I401/100)</f>
        <v/>
      </c>
      <c r="K401" s="18" t="n"/>
      <c r="L401" s="35">
        <f>IF($F401="","",$F401*$K401/100)</f>
        <v/>
      </c>
      <c r="M401" s="20">
        <f>IF($A401="","",ROUNDUP(MONTH($A401)/3,0))</f>
        <v/>
      </c>
    </row>
    <row r="402">
      <c r="A402" s="33" t="n"/>
      <c r="B402" s="16" t="n"/>
      <c r="C402" s="16" t="n"/>
      <c r="D402" s="16" t="n"/>
      <c r="E402" s="16" t="n"/>
      <c r="F402" s="34" t="n"/>
      <c r="G402" s="18" t="n"/>
      <c r="H402" s="35">
        <f>IF($F402="","",$F402*$G402/100)</f>
        <v/>
      </c>
      <c r="I402" s="18" t="n"/>
      <c r="J402" s="35">
        <f>IF($F402="","",$H402*$I402/100)</f>
        <v/>
      </c>
      <c r="K402" s="18" t="n"/>
      <c r="L402" s="35">
        <f>IF($F402="","",$F402*$K402/100)</f>
        <v/>
      </c>
      <c r="M402" s="20">
        <f>IF($A402="","",ROUNDUP(MONTH($A402)/3,0))</f>
        <v/>
      </c>
    </row>
    <row r="403">
      <c r="A403" s="33" t="n"/>
      <c r="B403" s="16" t="n"/>
      <c r="C403" s="16" t="n"/>
      <c r="D403" s="16" t="n"/>
      <c r="E403" s="16" t="n"/>
      <c r="F403" s="34" t="n"/>
      <c r="G403" s="18" t="n"/>
      <c r="H403" s="35">
        <f>IF($F403="","",$F403*$G403/100)</f>
        <v/>
      </c>
      <c r="I403" s="18" t="n"/>
      <c r="J403" s="35">
        <f>IF($F403="","",$H403*$I403/100)</f>
        <v/>
      </c>
      <c r="K403" s="18" t="n"/>
      <c r="L403" s="35">
        <f>IF($F403="","",$F403*$K403/100)</f>
        <v/>
      </c>
      <c r="M403" s="20">
        <f>IF($A403="","",ROUNDUP(MONTH($A403)/3,0))</f>
        <v/>
      </c>
    </row>
    <row r="404">
      <c r="A404" s="33" t="n"/>
      <c r="B404" s="16" t="n"/>
      <c r="C404" s="16" t="n"/>
      <c r="D404" s="16" t="n"/>
      <c r="E404" s="16" t="n"/>
      <c r="F404" s="34" t="n"/>
      <c r="G404" s="18" t="n"/>
      <c r="H404" s="35">
        <f>IF($F404="","",$F404*$G404/100)</f>
        <v/>
      </c>
      <c r="I404" s="18" t="n"/>
      <c r="J404" s="35">
        <f>IF($F404="","",$H404*$I404/100)</f>
        <v/>
      </c>
      <c r="K404" s="18" t="n"/>
      <c r="L404" s="35">
        <f>IF($F404="","",$F404*$K404/100)</f>
        <v/>
      </c>
      <c r="M404" s="20">
        <f>IF($A404="","",ROUNDUP(MONTH($A404)/3,0))</f>
        <v/>
      </c>
    </row>
    <row r="405">
      <c r="A405" s="33" t="n"/>
      <c r="B405" s="16" t="n"/>
      <c r="C405" s="16" t="n"/>
      <c r="D405" s="16" t="n"/>
      <c r="E405" s="16" t="n"/>
      <c r="F405" s="34" t="n"/>
      <c r="G405" s="18" t="n"/>
      <c r="H405" s="35">
        <f>IF($F405="","",$F405*$G405/100)</f>
        <v/>
      </c>
      <c r="I405" s="18" t="n"/>
      <c r="J405" s="35">
        <f>IF($F405="","",$H405*$I405/100)</f>
        <v/>
      </c>
      <c r="K405" s="18" t="n"/>
      <c r="L405" s="35">
        <f>IF($F405="","",$F405*$K405/100)</f>
        <v/>
      </c>
      <c r="M405" s="20">
        <f>IF($A405="","",ROUNDUP(MONTH($A405)/3,0))</f>
        <v/>
      </c>
    </row>
    <row r="406">
      <c r="A406" s="33" t="n"/>
      <c r="B406" s="16" t="n"/>
      <c r="C406" s="16" t="n"/>
      <c r="D406" s="16" t="n"/>
      <c r="E406" s="16" t="n"/>
      <c r="F406" s="34" t="n"/>
      <c r="G406" s="18" t="n"/>
      <c r="H406" s="35">
        <f>IF($F406="","",$F406*$G406/100)</f>
        <v/>
      </c>
      <c r="I406" s="18" t="n"/>
      <c r="J406" s="35">
        <f>IF($F406="","",$H406*$I406/100)</f>
        <v/>
      </c>
      <c r="K406" s="18" t="n"/>
      <c r="L406" s="35">
        <f>IF($F406="","",$F406*$K406/100)</f>
        <v/>
      </c>
      <c r="M406" s="20">
        <f>IF($A406="","",ROUNDUP(MONTH($A406)/3,0))</f>
        <v/>
      </c>
    </row>
    <row r="407">
      <c r="A407" s="33" t="n"/>
      <c r="B407" s="16" t="n"/>
      <c r="C407" s="16" t="n"/>
      <c r="D407" s="16" t="n"/>
      <c r="E407" s="16" t="n"/>
      <c r="F407" s="34" t="n"/>
      <c r="G407" s="18" t="n"/>
      <c r="H407" s="35">
        <f>IF($F407="","",$F407*$G407/100)</f>
        <v/>
      </c>
      <c r="I407" s="18" t="n"/>
      <c r="J407" s="35">
        <f>IF($F407="","",$H407*$I407/100)</f>
        <v/>
      </c>
      <c r="K407" s="18" t="n"/>
      <c r="L407" s="35">
        <f>IF($F407="","",$F407*$K407/100)</f>
        <v/>
      </c>
      <c r="M407" s="20">
        <f>IF($A407="","",ROUNDUP(MONTH($A407)/3,0))</f>
        <v/>
      </c>
    </row>
    <row r="408">
      <c r="A408" s="33" t="n"/>
      <c r="B408" s="16" t="n"/>
      <c r="C408" s="16" t="n"/>
      <c r="D408" s="16" t="n"/>
      <c r="E408" s="16" t="n"/>
      <c r="F408" s="34" t="n"/>
      <c r="G408" s="18" t="n"/>
      <c r="H408" s="35">
        <f>IF($F408="","",$F408*$G408/100)</f>
        <v/>
      </c>
      <c r="I408" s="18" t="n"/>
      <c r="J408" s="35">
        <f>IF($F408="","",$H408*$I408/100)</f>
        <v/>
      </c>
      <c r="K408" s="18" t="n"/>
      <c r="L408" s="35">
        <f>IF($F408="","",$F408*$K408/100)</f>
        <v/>
      </c>
      <c r="M408" s="20">
        <f>IF($A408="","",ROUNDUP(MONTH($A408)/3,0))</f>
        <v/>
      </c>
    </row>
    <row r="409">
      <c r="A409" s="33" t="n"/>
      <c r="B409" s="16" t="n"/>
      <c r="C409" s="16" t="n"/>
      <c r="D409" s="16" t="n"/>
      <c r="E409" s="16" t="n"/>
      <c r="F409" s="34" t="n"/>
      <c r="G409" s="18" t="n"/>
      <c r="H409" s="35">
        <f>IF($F409="","",$F409*$G409/100)</f>
        <v/>
      </c>
      <c r="I409" s="18" t="n"/>
      <c r="J409" s="35">
        <f>IF($F409="","",$H409*$I409/100)</f>
        <v/>
      </c>
      <c r="K409" s="18" t="n"/>
      <c r="L409" s="35">
        <f>IF($F409="","",$F409*$K409/100)</f>
        <v/>
      </c>
      <c r="M409" s="20">
        <f>IF($A409="","",ROUNDUP(MONTH($A409)/3,0))</f>
        <v/>
      </c>
    </row>
    <row r="410">
      <c r="A410" s="33" t="n"/>
      <c r="B410" s="16" t="n"/>
      <c r="C410" s="16" t="n"/>
      <c r="D410" s="16" t="n"/>
      <c r="E410" s="16" t="n"/>
      <c r="F410" s="34" t="n"/>
      <c r="G410" s="18" t="n"/>
      <c r="H410" s="35">
        <f>IF($F410="","",$F410*$G410/100)</f>
        <v/>
      </c>
      <c r="I410" s="18" t="n"/>
      <c r="J410" s="35">
        <f>IF($F410="","",$H410*$I410/100)</f>
        <v/>
      </c>
      <c r="K410" s="18" t="n"/>
      <c r="L410" s="35">
        <f>IF($F410="","",$F410*$K410/100)</f>
        <v/>
      </c>
      <c r="M410" s="20">
        <f>IF($A410="","",ROUNDUP(MONTH($A410)/3,0))</f>
        <v/>
      </c>
    </row>
    <row r="411">
      <c r="A411" s="33" t="n"/>
      <c r="B411" s="16" t="n"/>
      <c r="C411" s="16" t="n"/>
      <c r="D411" s="16" t="n"/>
      <c r="E411" s="16" t="n"/>
      <c r="F411" s="34" t="n"/>
      <c r="G411" s="18" t="n"/>
      <c r="H411" s="35">
        <f>IF($F411="","",$F411*$G411/100)</f>
        <v/>
      </c>
      <c r="I411" s="18" t="n"/>
      <c r="J411" s="35">
        <f>IF($F411="","",$H411*$I411/100)</f>
        <v/>
      </c>
      <c r="K411" s="18" t="n"/>
      <c r="L411" s="35">
        <f>IF($F411="","",$F411*$K411/100)</f>
        <v/>
      </c>
      <c r="M411" s="20">
        <f>IF($A411="","",ROUNDUP(MONTH($A411)/3,0))</f>
        <v/>
      </c>
    </row>
    <row r="412">
      <c r="A412" s="33" t="n"/>
      <c r="B412" s="16" t="n"/>
      <c r="C412" s="16" t="n"/>
      <c r="D412" s="16" t="n"/>
      <c r="E412" s="16" t="n"/>
      <c r="F412" s="34" t="n"/>
      <c r="G412" s="18" t="n"/>
      <c r="H412" s="35">
        <f>IF($F412="","",$F412*$G412/100)</f>
        <v/>
      </c>
      <c r="I412" s="18" t="n"/>
      <c r="J412" s="35">
        <f>IF($F412="","",$H412*$I412/100)</f>
        <v/>
      </c>
      <c r="K412" s="18" t="n"/>
      <c r="L412" s="35">
        <f>IF($F412="","",$F412*$K412/100)</f>
        <v/>
      </c>
      <c r="M412" s="20">
        <f>IF($A412="","",ROUNDUP(MONTH($A412)/3,0))</f>
        <v/>
      </c>
    </row>
    <row r="413">
      <c r="A413" s="33" t="n"/>
      <c r="B413" s="16" t="n"/>
      <c r="C413" s="16" t="n"/>
      <c r="D413" s="16" t="n"/>
      <c r="E413" s="16" t="n"/>
      <c r="F413" s="34" t="n"/>
      <c r="G413" s="18" t="n"/>
      <c r="H413" s="35">
        <f>IF($F413="","",$F413*$G413/100)</f>
        <v/>
      </c>
      <c r="I413" s="18" t="n"/>
      <c r="J413" s="35">
        <f>IF($F413="","",$H413*$I413/100)</f>
        <v/>
      </c>
      <c r="K413" s="18" t="n"/>
      <c r="L413" s="35">
        <f>IF($F413="","",$F413*$K413/100)</f>
        <v/>
      </c>
      <c r="M413" s="20">
        <f>IF($A413="","",ROUNDUP(MONTH($A413)/3,0))</f>
        <v/>
      </c>
    </row>
    <row r="414">
      <c r="A414" s="33" t="n"/>
      <c r="B414" s="16" t="n"/>
      <c r="C414" s="16" t="n"/>
      <c r="D414" s="16" t="n"/>
      <c r="E414" s="16" t="n"/>
      <c r="F414" s="34" t="n"/>
      <c r="G414" s="18" t="n"/>
      <c r="H414" s="35">
        <f>IF($F414="","",$F414*$G414/100)</f>
        <v/>
      </c>
      <c r="I414" s="18" t="n"/>
      <c r="J414" s="35">
        <f>IF($F414="","",$H414*$I414/100)</f>
        <v/>
      </c>
      <c r="K414" s="18" t="n"/>
      <c r="L414" s="35">
        <f>IF($F414="","",$F414*$K414/100)</f>
        <v/>
      </c>
      <c r="M414" s="20">
        <f>IF($A414="","",ROUNDUP(MONTH($A414)/3,0))</f>
        <v/>
      </c>
    </row>
    <row r="415">
      <c r="A415" s="33" t="n"/>
      <c r="B415" s="16" t="n"/>
      <c r="C415" s="16" t="n"/>
      <c r="D415" s="16" t="n"/>
      <c r="E415" s="16" t="n"/>
      <c r="F415" s="34" t="n"/>
      <c r="G415" s="18" t="n"/>
      <c r="H415" s="35">
        <f>IF($F415="","",$F415*$G415/100)</f>
        <v/>
      </c>
      <c r="I415" s="18" t="n"/>
      <c r="J415" s="35">
        <f>IF($F415="","",$H415*$I415/100)</f>
        <v/>
      </c>
      <c r="K415" s="18" t="n"/>
      <c r="L415" s="35">
        <f>IF($F415="","",$F415*$K415/100)</f>
        <v/>
      </c>
      <c r="M415" s="20">
        <f>IF($A415="","",ROUNDUP(MONTH($A415)/3,0))</f>
        <v/>
      </c>
    </row>
    <row r="416">
      <c r="A416" s="33" t="n"/>
      <c r="B416" s="16" t="n"/>
      <c r="C416" s="16" t="n"/>
      <c r="D416" s="16" t="n"/>
      <c r="E416" s="16" t="n"/>
      <c r="F416" s="34" t="n"/>
      <c r="G416" s="18" t="n"/>
      <c r="H416" s="35">
        <f>IF($F416="","",$F416*$G416/100)</f>
        <v/>
      </c>
      <c r="I416" s="18" t="n"/>
      <c r="J416" s="35">
        <f>IF($F416="","",$H416*$I416/100)</f>
        <v/>
      </c>
      <c r="K416" s="18" t="n"/>
      <c r="L416" s="35">
        <f>IF($F416="","",$F416*$K416/100)</f>
        <v/>
      </c>
      <c r="M416" s="20">
        <f>IF($A416="","",ROUNDUP(MONTH($A416)/3,0))</f>
        <v/>
      </c>
    </row>
    <row r="417">
      <c r="A417" s="33" t="n"/>
      <c r="B417" s="16" t="n"/>
      <c r="C417" s="16" t="n"/>
      <c r="D417" s="16" t="n"/>
      <c r="E417" s="16" t="n"/>
      <c r="F417" s="34" t="n"/>
      <c r="G417" s="18" t="n"/>
      <c r="H417" s="35">
        <f>IF($F417="","",$F417*$G417/100)</f>
        <v/>
      </c>
      <c r="I417" s="18" t="n"/>
      <c r="J417" s="35">
        <f>IF($F417="","",$H417*$I417/100)</f>
        <v/>
      </c>
      <c r="K417" s="18" t="n"/>
      <c r="L417" s="35">
        <f>IF($F417="","",$F417*$K417/100)</f>
        <v/>
      </c>
      <c r="M417" s="20">
        <f>IF($A417="","",ROUNDUP(MONTH($A417)/3,0))</f>
        <v/>
      </c>
    </row>
    <row r="418">
      <c r="A418" s="33" t="n"/>
      <c r="B418" s="16" t="n"/>
      <c r="C418" s="16" t="n"/>
      <c r="D418" s="16" t="n"/>
      <c r="E418" s="16" t="n"/>
      <c r="F418" s="34" t="n"/>
      <c r="G418" s="18" t="n"/>
      <c r="H418" s="35">
        <f>IF($F418="","",$F418*$G418/100)</f>
        <v/>
      </c>
      <c r="I418" s="18" t="n"/>
      <c r="J418" s="35">
        <f>IF($F418="","",$H418*$I418/100)</f>
        <v/>
      </c>
      <c r="K418" s="18" t="n"/>
      <c r="L418" s="35">
        <f>IF($F418="","",$F418*$K418/100)</f>
        <v/>
      </c>
      <c r="M418" s="20">
        <f>IF($A418="","",ROUNDUP(MONTH($A418)/3,0))</f>
        <v/>
      </c>
    </row>
    <row r="419">
      <c r="A419" s="33" t="n"/>
      <c r="B419" s="16" t="n"/>
      <c r="C419" s="16" t="n"/>
      <c r="D419" s="16" t="n"/>
      <c r="E419" s="16" t="n"/>
      <c r="F419" s="34" t="n"/>
      <c r="G419" s="18" t="n"/>
      <c r="H419" s="35">
        <f>IF($F419="","",$F419*$G419/100)</f>
        <v/>
      </c>
      <c r="I419" s="18" t="n"/>
      <c r="J419" s="35">
        <f>IF($F419="","",$H419*$I419/100)</f>
        <v/>
      </c>
      <c r="K419" s="18" t="n"/>
      <c r="L419" s="35">
        <f>IF($F419="","",$F419*$K419/100)</f>
        <v/>
      </c>
      <c r="M419" s="20">
        <f>IF($A419="","",ROUNDUP(MONTH($A419)/3,0))</f>
        <v/>
      </c>
    </row>
    <row r="420">
      <c r="A420" s="33" t="n"/>
      <c r="B420" s="16" t="n"/>
      <c r="C420" s="16" t="n"/>
      <c r="D420" s="16" t="n"/>
      <c r="E420" s="16" t="n"/>
      <c r="F420" s="34" t="n"/>
      <c r="G420" s="18" t="n"/>
      <c r="H420" s="35">
        <f>IF($F420="","",$F420*$G420/100)</f>
        <v/>
      </c>
      <c r="I420" s="18" t="n"/>
      <c r="J420" s="35">
        <f>IF($F420="","",$H420*$I420/100)</f>
        <v/>
      </c>
      <c r="K420" s="18" t="n"/>
      <c r="L420" s="35">
        <f>IF($F420="","",$F420*$K420/100)</f>
        <v/>
      </c>
      <c r="M420" s="20">
        <f>IF($A420="","",ROUNDUP(MONTH($A420)/3,0))</f>
        <v/>
      </c>
    </row>
    <row r="421">
      <c r="A421" s="33" t="n"/>
      <c r="B421" s="16" t="n"/>
      <c r="C421" s="16" t="n"/>
      <c r="D421" s="16" t="n"/>
      <c r="E421" s="16" t="n"/>
      <c r="F421" s="34" t="n"/>
      <c r="G421" s="18" t="n"/>
      <c r="H421" s="35">
        <f>IF($F421="","",$F421*$G421/100)</f>
        <v/>
      </c>
      <c r="I421" s="18" t="n"/>
      <c r="J421" s="35">
        <f>IF($F421="","",$H421*$I421/100)</f>
        <v/>
      </c>
      <c r="K421" s="18" t="n"/>
      <c r="L421" s="35">
        <f>IF($F421="","",$F421*$K421/100)</f>
        <v/>
      </c>
      <c r="M421" s="20">
        <f>IF($A421="","",ROUNDUP(MONTH($A421)/3,0))</f>
        <v/>
      </c>
    </row>
    <row r="422">
      <c r="A422" s="33" t="n"/>
      <c r="B422" s="16" t="n"/>
      <c r="C422" s="16" t="n"/>
      <c r="D422" s="16" t="n"/>
      <c r="E422" s="16" t="n"/>
      <c r="F422" s="34" t="n"/>
      <c r="G422" s="18" t="n"/>
      <c r="H422" s="35">
        <f>IF($F422="","",$F422*$G422/100)</f>
        <v/>
      </c>
      <c r="I422" s="18" t="n"/>
      <c r="J422" s="35">
        <f>IF($F422="","",$H422*$I422/100)</f>
        <v/>
      </c>
      <c r="K422" s="18" t="n"/>
      <c r="L422" s="35">
        <f>IF($F422="","",$F422*$K422/100)</f>
        <v/>
      </c>
      <c r="M422" s="20">
        <f>IF($A422="","",ROUNDUP(MONTH($A422)/3,0))</f>
        <v/>
      </c>
    </row>
    <row r="423">
      <c r="A423" s="33" t="n"/>
      <c r="B423" s="16" t="n"/>
      <c r="C423" s="16" t="n"/>
      <c r="D423" s="16" t="n"/>
      <c r="E423" s="16" t="n"/>
      <c r="F423" s="34" t="n"/>
      <c r="G423" s="18" t="n"/>
      <c r="H423" s="35">
        <f>IF($F423="","",$F423*$G423/100)</f>
        <v/>
      </c>
      <c r="I423" s="18" t="n"/>
      <c r="J423" s="35">
        <f>IF($F423="","",$H423*$I423/100)</f>
        <v/>
      </c>
      <c r="K423" s="18" t="n"/>
      <c r="L423" s="35">
        <f>IF($F423="","",$F423*$K423/100)</f>
        <v/>
      </c>
      <c r="M423" s="20">
        <f>IF($A423="","",ROUNDUP(MONTH($A423)/3,0))</f>
        <v/>
      </c>
    </row>
    <row r="424">
      <c r="A424" s="33" t="n"/>
      <c r="B424" s="16" t="n"/>
      <c r="C424" s="16" t="n"/>
      <c r="D424" s="16" t="n"/>
      <c r="E424" s="16" t="n"/>
      <c r="F424" s="34" t="n"/>
      <c r="G424" s="18" t="n"/>
      <c r="H424" s="35">
        <f>IF($F424="","",$F424*$G424/100)</f>
        <v/>
      </c>
      <c r="I424" s="18" t="n"/>
      <c r="J424" s="35">
        <f>IF($F424="","",$H424*$I424/100)</f>
        <v/>
      </c>
      <c r="K424" s="18" t="n"/>
      <c r="L424" s="35">
        <f>IF($F424="","",$F424*$K424/100)</f>
        <v/>
      </c>
      <c r="M424" s="20">
        <f>IF($A424="","",ROUNDUP(MONTH($A424)/3,0))</f>
        <v/>
      </c>
    </row>
    <row r="425">
      <c r="A425" s="33" t="n"/>
      <c r="B425" s="16" t="n"/>
      <c r="C425" s="16" t="n"/>
      <c r="D425" s="16" t="n"/>
      <c r="E425" s="16" t="n"/>
      <c r="F425" s="34" t="n"/>
      <c r="G425" s="18" t="n"/>
      <c r="H425" s="35">
        <f>IF($F425="","",$F425*$G425/100)</f>
        <v/>
      </c>
      <c r="I425" s="18" t="n"/>
      <c r="J425" s="35">
        <f>IF($F425="","",$H425*$I425/100)</f>
        <v/>
      </c>
      <c r="K425" s="18" t="n"/>
      <c r="L425" s="35">
        <f>IF($F425="","",$F425*$K425/100)</f>
        <v/>
      </c>
      <c r="M425" s="20">
        <f>IF($A425="","",ROUNDUP(MONTH($A425)/3,0))</f>
        <v/>
      </c>
    </row>
    <row r="426">
      <c r="A426" s="33" t="n"/>
      <c r="B426" s="16" t="n"/>
      <c r="C426" s="16" t="n"/>
      <c r="D426" s="16" t="n"/>
      <c r="E426" s="16" t="n"/>
      <c r="F426" s="34" t="n"/>
      <c r="G426" s="18" t="n"/>
      <c r="H426" s="35">
        <f>IF($F426="","",$F426*$G426/100)</f>
        <v/>
      </c>
      <c r="I426" s="18" t="n"/>
      <c r="J426" s="35">
        <f>IF($F426="","",$H426*$I426/100)</f>
        <v/>
      </c>
      <c r="K426" s="18" t="n"/>
      <c r="L426" s="35">
        <f>IF($F426="","",$F426*$K426/100)</f>
        <v/>
      </c>
      <c r="M426" s="20">
        <f>IF($A426="","",ROUNDUP(MONTH($A426)/3,0))</f>
        <v/>
      </c>
    </row>
    <row r="427">
      <c r="A427" s="33" t="n"/>
      <c r="B427" s="16" t="n"/>
      <c r="C427" s="16" t="n"/>
      <c r="D427" s="16" t="n"/>
      <c r="E427" s="16" t="n"/>
      <c r="F427" s="34" t="n"/>
      <c r="G427" s="18" t="n"/>
      <c r="H427" s="35">
        <f>IF($F427="","",$F427*$G427/100)</f>
        <v/>
      </c>
      <c r="I427" s="18" t="n"/>
      <c r="J427" s="35">
        <f>IF($F427="","",$H427*$I427/100)</f>
        <v/>
      </c>
      <c r="K427" s="18" t="n"/>
      <c r="L427" s="35">
        <f>IF($F427="","",$F427*$K427/100)</f>
        <v/>
      </c>
      <c r="M427" s="20">
        <f>IF($A427="","",ROUNDUP(MONTH($A427)/3,0))</f>
        <v/>
      </c>
    </row>
    <row r="428">
      <c r="A428" s="33" t="n"/>
      <c r="B428" s="16" t="n"/>
      <c r="C428" s="16" t="n"/>
      <c r="D428" s="16" t="n"/>
      <c r="E428" s="16" t="n"/>
      <c r="F428" s="34" t="n"/>
      <c r="G428" s="18" t="n"/>
      <c r="H428" s="35">
        <f>IF($F428="","",$F428*$G428/100)</f>
        <v/>
      </c>
      <c r="I428" s="18" t="n"/>
      <c r="J428" s="35">
        <f>IF($F428="","",$H428*$I428/100)</f>
        <v/>
      </c>
      <c r="K428" s="18" t="n"/>
      <c r="L428" s="35">
        <f>IF($F428="","",$F428*$K428/100)</f>
        <v/>
      </c>
      <c r="M428" s="20">
        <f>IF($A428="","",ROUNDUP(MONTH($A428)/3,0))</f>
        <v/>
      </c>
    </row>
    <row r="429">
      <c r="A429" s="33" t="n"/>
      <c r="B429" s="16" t="n"/>
      <c r="C429" s="16" t="n"/>
      <c r="D429" s="16" t="n"/>
      <c r="E429" s="16" t="n"/>
      <c r="F429" s="34" t="n"/>
      <c r="G429" s="18" t="n"/>
      <c r="H429" s="35">
        <f>IF($F429="","",$F429*$G429/100)</f>
        <v/>
      </c>
      <c r="I429" s="18" t="n"/>
      <c r="J429" s="35">
        <f>IF($F429="","",$H429*$I429/100)</f>
        <v/>
      </c>
      <c r="K429" s="18" t="n"/>
      <c r="L429" s="35">
        <f>IF($F429="","",$F429*$K429/100)</f>
        <v/>
      </c>
      <c r="M429" s="20">
        <f>IF($A429="","",ROUNDUP(MONTH($A429)/3,0))</f>
        <v/>
      </c>
    </row>
    <row r="430">
      <c r="A430" s="33" t="n"/>
      <c r="B430" s="16" t="n"/>
      <c r="C430" s="16" t="n"/>
      <c r="D430" s="16" t="n"/>
      <c r="E430" s="16" t="n"/>
      <c r="F430" s="34" t="n"/>
      <c r="G430" s="18" t="n"/>
      <c r="H430" s="35">
        <f>IF($F430="","",$F430*$G430/100)</f>
        <v/>
      </c>
      <c r="I430" s="18" t="n"/>
      <c r="J430" s="35">
        <f>IF($F430="","",$H430*$I430/100)</f>
        <v/>
      </c>
      <c r="K430" s="18" t="n"/>
      <c r="L430" s="35">
        <f>IF($F430="","",$F430*$K430/100)</f>
        <v/>
      </c>
      <c r="M430" s="20">
        <f>IF($A430="","",ROUNDUP(MONTH($A430)/3,0))</f>
        <v/>
      </c>
    </row>
    <row r="431">
      <c r="A431" s="33" t="n"/>
      <c r="B431" s="16" t="n"/>
      <c r="C431" s="16" t="n"/>
      <c r="D431" s="16" t="n"/>
      <c r="E431" s="16" t="n"/>
      <c r="F431" s="34" t="n"/>
      <c r="G431" s="18" t="n"/>
      <c r="H431" s="35">
        <f>IF($F431="","",$F431*$G431/100)</f>
        <v/>
      </c>
      <c r="I431" s="18" t="n"/>
      <c r="J431" s="35">
        <f>IF($F431="","",$H431*$I431/100)</f>
        <v/>
      </c>
      <c r="K431" s="18" t="n"/>
      <c r="L431" s="35">
        <f>IF($F431="","",$F431*$K431/100)</f>
        <v/>
      </c>
      <c r="M431" s="20">
        <f>IF($A431="","",ROUNDUP(MONTH($A431)/3,0))</f>
        <v/>
      </c>
    </row>
    <row r="432">
      <c r="A432" s="33" t="n"/>
      <c r="B432" s="16" t="n"/>
      <c r="C432" s="16" t="n"/>
      <c r="D432" s="16" t="n"/>
      <c r="E432" s="16" t="n"/>
      <c r="F432" s="34" t="n"/>
      <c r="G432" s="18" t="n"/>
      <c r="H432" s="35">
        <f>IF($F432="","",$F432*$G432/100)</f>
        <v/>
      </c>
      <c r="I432" s="18" t="n"/>
      <c r="J432" s="35">
        <f>IF($F432="","",$H432*$I432/100)</f>
        <v/>
      </c>
      <c r="K432" s="18" t="n"/>
      <c r="L432" s="35">
        <f>IF($F432="","",$F432*$K432/100)</f>
        <v/>
      </c>
      <c r="M432" s="20">
        <f>IF($A432="","",ROUNDUP(MONTH($A432)/3,0))</f>
        <v/>
      </c>
    </row>
    <row r="433">
      <c r="A433" s="33" t="n"/>
      <c r="B433" s="16" t="n"/>
      <c r="C433" s="16" t="n"/>
      <c r="D433" s="16" t="n"/>
      <c r="E433" s="16" t="n"/>
      <c r="F433" s="34" t="n"/>
      <c r="G433" s="18" t="n"/>
      <c r="H433" s="35">
        <f>IF($F433="","",$F433*$G433/100)</f>
        <v/>
      </c>
      <c r="I433" s="18" t="n"/>
      <c r="J433" s="35">
        <f>IF($F433="","",$H433*$I433/100)</f>
        <v/>
      </c>
      <c r="K433" s="18" t="n"/>
      <c r="L433" s="35">
        <f>IF($F433="","",$F433*$K433/100)</f>
        <v/>
      </c>
      <c r="M433" s="20">
        <f>IF($A433="","",ROUNDUP(MONTH($A433)/3,0))</f>
        <v/>
      </c>
    </row>
    <row r="434">
      <c r="A434" s="33" t="n"/>
      <c r="B434" s="16" t="n"/>
      <c r="C434" s="16" t="n"/>
      <c r="D434" s="16" t="n"/>
      <c r="E434" s="16" t="n"/>
      <c r="F434" s="34" t="n"/>
      <c r="G434" s="18" t="n"/>
      <c r="H434" s="35">
        <f>IF($F434="","",$F434*$G434/100)</f>
        <v/>
      </c>
      <c r="I434" s="18" t="n"/>
      <c r="J434" s="35">
        <f>IF($F434="","",$H434*$I434/100)</f>
        <v/>
      </c>
      <c r="K434" s="18" t="n"/>
      <c r="L434" s="35">
        <f>IF($F434="","",$F434*$K434/100)</f>
        <v/>
      </c>
      <c r="M434" s="20">
        <f>IF($A434="","",ROUNDUP(MONTH($A434)/3,0))</f>
        <v/>
      </c>
    </row>
    <row r="435">
      <c r="A435" s="33" t="n"/>
      <c r="B435" s="16" t="n"/>
      <c r="C435" s="16" t="n"/>
      <c r="D435" s="16" t="n"/>
      <c r="E435" s="16" t="n"/>
      <c r="F435" s="34" t="n"/>
      <c r="G435" s="18" t="n"/>
      <c r="H435" s="35">
        <f>IF($F435="","",$F435*$G435/100)</f>
        <v/>
      </c>
      <c r="I435" s="18" t="n"/>
      <c r="J435" s="35">
        <f>IF($F435="","",$H435*$I435/100)</f>
        <v/>
      </c>
      <c r="K435" s="18" t="n"/>
      <c r="L435" s="35">
        <f>IF($F435="","",$F435*$K435/100)</f>
        <v/>
      </c>
      <c r="M435" s="20">
        <f>IF($A435="","",ROUNDUP(MONTH($A435)/3,0))</f>
        <v/>
      </c>
    </row>
    <row r="436">
      <c r="A436" s="33" t="n"/>
      <c r="B436" s="16" t="n"/>
      <c r="C436" s="16" t="n"/>
      <c r="D436" s="16" t="n"/>
      <c r="E436" s="16" t="n"/>
      <c r="F436" s="34" t="n"/>
      <c r="G436" s="18" t="n"/>
      <c r="H436" s="35">
        <f>IF($F436="","",$F436*$G436/100)</f>
        <v/>
      </c>
      <c r="I436" s="18" t="n"/>
      <c r="J436" s="35">
        <f>IF($F436="","",$H436*$I436/100)</f>
        <v/>
      </c>
      <c r="K436" s="18" t="n"/>
      <c r="L436" s="35">
        <f>IF($F436="","",$F436*$K436/100)</f>
        <v/>
      </c>
      <c r="M436" s="20">
        <f>IF($A436="","",ROUNDUP(MONTH($A436)/3,0))</f>
        <v/>
      </c>
    </row>
    <row r="437">
      <c r="A437" s="33" t="n"/>
      <c r="B437" s="16" t="n"/>
      <c r="C437" s="16" t="n"/>
      <c r="D437" s="16" t="n"/>
      <c r="E437" s="16" t="n"/>
      <c r="F437" s="34" t="n"/>
      <c r="G437" s="18" t="n"/>
      <c r="H437" s="35">
        <f>IF($F437="","",$F437*$G437/100)</f>
        <v/>
      </c>
      <c r="I437" s="18" t="n"/>
      <c r="J437" s="35">
        <f>IF($F437="","",$H437*$I437/100)</f>
        <v/>
      </c>
      <c r="K437" s="18" t="n"/>
      <c r="L437" s="35">
        <f>IF($F437="","",$F437*$K437/100)</f>
        <v/>
      </c>
      <c r="M437" s="20">
        <f>IF($A437="","",ROUNDUP(MONTH($A437)/3,0))</f>
        <v/>
      </c>
    </row>
    <row r="438">
      <c r="A438" s="33" t="n"/>
      <c r="B438" s="16" t="n"/>
      <c r="C438" s="16" t="n"/>
      <c r="D438" s="16" t="n"/>
      <c r="E438" s="16" t="n"/>
      <c r="F438" s="34" t="n"/>
      <c r="G438" s="18" t="n"/>
      <c r="H438" s="35">
        <f>IF($F438="","",$F438*$G438/100)</f>
        <v/>
      </c>
      <c r="I438" s="18" t="n"/>
      <c r="J438" s="35">
        <f>IF($F438="","",$H438*$I438/100)</f>
        <v/>
      </c>
      <c r="K438" s="18" t="n"/>
      <c r="L438" s="35">
        <f>IF($F438="","",$F438*$K438/100)</f>
        <v/>
      </c>
      <c r="M438" s="20">
        <f>IF($A438="","",ROUNDUP(MONTH($A438)/3,0))</f>
        <v/>
      </c>
    </row>
    <row r="439">
      <c r="A439" s="33" t="n"/>
      <c r="B439" s="16" t="n"/>
      <c r="C439" s="16" t="n"/>
      <c r="D439" s="16" t="n"/>
      <c r="E439" s="16" t="n"/>
      <c r="F439" s="34" t="n"/>
      <c r="G439" s="18" t="n"/>
      <c r="H439" s="35">
        <f>IF($F439="","",$F439*$G439/100)</f>
        <v/>
      </c>
      <c r="I439" s="18" t="n"/>
      <c r="J439" s="35">
        <f>IF($F439="","",$H439*$I439/100)</f>
        <v/>
      </c>
      <c r="K439" s="18" t="n"/>
      <c r="L439" s="35">
        <f>IF($F439="","",$F439*$K439/100)</f>
        <v/>
      </c>
      <c r="M439" s="20">
        <f>IF($A439="","",ROUNDUP(MONTH($A439)/3,0))</f>
        <v/>
      </c>
    </row>
    <row r="440">
      <c r="A440" s="33" t="n"/>
      <c r="B440" s="16" t="n"/>
      <c r="C440" s="16" t="n"/>
      <c r="D440" s="16" t="n"/>
      <c r="E440" s="16" t="n"/>
      <c r="F440" s="34" t="n"/>
      <c r="G440" s="18" t="n"/>
      <c r="H440" s="35">
        <f>IF($F440="","",$F440*$G440/100)</f>
        <v/>
      </c>
      <c r="I440" s="18" t="n"/>
      <c r="J440" s="35">
        <f>IF($F440="","",$H440*$I440/100)</f>
        <v/>
      </c>
      <c r="K440" s="18" t="n"/>
      <c r="L440" s="35">
        <f>IF($F440="","",$F440*$K440/100)</f>
        <v/>
      </c>
      <c r="M440" s="20">
        <f>IF($A440="","",ROUNDUP(MONTH($A440)/3,0))</f>
        <v/>
      </c>
    </row>
    <row r="441">
      <c r="A441" s="33" t="n"/>
      <c r="B441" s="16" t="n"/>
      <c r="C441" s="16" t="n"/>
      <c r="D441" s="16" t="n"/>
      <c r="E441" s="16" t="n"/>
      <c r="F441" s="34" t="n"/>
      <c r="G441" s="18" t="n"/>
      <c r="H441" s="35">
        <f>IF($F441="","",$F441*$G441/100)</f>
        <v/>
      </c>
      <c r="I441" s="18" t="n"/>
      <c r="J441" s="35">
        <f>IF($F441="","",$H441*$I441/100)</f>
        <v/>
      </c>
      <c r="K441" s="18" t="n"/>
      <c r="L441" s="35">
        <f>IF($F441="","",$F441*$K441/100)</f>
        <v/>
      </c>
      <c r="M441" s="20">
        <f>IF($A441="","",ROUNDUP(MONTH($A441)/3,0))</f>
        <v/>
      </c>
    </row>
    <row r="442">
      <c r="A442" s="33" t="n"/>
      <c r="B442" s="16" t="n"/>
      <c r="C442" s="16" t="n"/>
      <c r="D442" s="16" t="n"/>
      <c r="E442" s="16" t="n"/>
      <c r="F442" s="34" t="n"/>
      <c r="G442" s="18" t="n"/>
      <c r="H442" s="35">
        <f>IF($F442="","",$F442*$G442/100)</f>
        <v/>
      </c>
      <c r="I442" s="18" t="n"/>
      <c r="J442" s="35">
        <f>IF($F442="","",$H442*$I442/100)</f>
        <v/>
      </c>
      <c r="K442" s="18" t="n"/>
      <c r="L442" s="35">
        <f>IF($F442="","",$F442*$K442/100)</f>
        <v/>
      </c>
      <c r="M442" s="20">
        <f>IF($A442="","",ROUNDUP(MONTH($A442)/3,0))</f>
        <v/>
      </c>
    </row>
    <row r="443">
      <c r="A443" s="33" t="n"/>
      <c r="B443" s="16" t="n"/>
      <c r="C443" s="16" t="n"/>
      <c r="D443" s="16" t="n"/>
      <c r="E443" s="16" t="n"/>
      <c r="F443" s="34" t="n"/>
      <c r="G443" s="18" t="n"/>
      <c r="H443" s="35">
        <f>IF($F443="","",$F443*$G443/100)</f>
        <v/>
      </c>
      <c r="I443" s="18" t="n"/>
      <c r="J443" s="35">
        <f>IF($F443="","",$H443*$I443/100)</f>
        <v/>
      </c>
      <c r="K443" s="18" t="n"/>
      <c r="L443" s="35">
        <f>IF($F443="","",$F443*$K443/100)</f>
        <v/>
      </c>
      <c r="M443" s="20">
        <f>IF($A443="","",ROUNDUP(MONTH($A443)/3,0))</f>
        <v/>
      </c>
    </row>
    <row r="444">
      <c r="A444" s="33" t="n"/>
      <c r="B444" s="16" t="n"/>
      <c r="C444" s="16" t="n"/>
      <c r="D444" s="16" t="n"/>
      <c r="E444" s="16" t="n"/>
      <c r="F444" s="34" t="n"/>
      <c r="G444" s="18" t="n"/>
      <c r="H444" s="35">
        <f>IF($F444="","",$F444*$G444/100)</f>
        <v/>
      </c>
      <c r="I444" s="18" t="n"/>
      <c r="J444" s="35">
        <f>IF($F444="","",$H444*$I444/100)</f>
        <v/>
      </c>
      <c r="K444" s="18" t="n"/>
      <c r="L444" s="35">
        <f>IF($F444="","",$F444*$K444/100)</f>
        <v/>
      </c>
      <c r="M444" s="20">
        <f>IF($A444="","",ROUNDUP(MONTH($A444)/3,0))</f>
        <v/>
      </c>
    </row>
    <row r="445">
      <c r="A445" s="33" t="n"/>
      <c r="B445" s="16" t="n"/>
      <c r="C445" s="16" t="n"/>
      <c r="D445" s="16" t="n"/>
      <c r="E445" s="16" t="n"/>
      <c r="F445" s="34" t="n"/>
      <c r="G445" s="18" t="n"/>
      <c r="H445" s="35">
        <f>IF($F445="","",$F445*$G445/100)</f>
        <v/>
      </c>
      <c r="I445" s="18" t="n"/>
      <c r="J445" s="35">
        <f>IF($F445="","",$H445*$I445/100)</f>
        <v/>
      </c>
      <c r="K445" s="18" t="n"/>
      <c r="L445" s="35">
        <f>IF($F445="","",$F445*$K445/100)</f>
        <v/>
      </c>
      <c r="M445" s="20">
        <f>IF($A445="","",ROUNDUP(MONTH($A445)/3,0))</f>
        <v/>
      </c>
    </row>
    <row r="446">
      <c r="A446" s="33" t="n"/>
      <c r="B446" s="16" t="n"/>
      <c r="C446" s="16" t="n"/>
      <c r="D446" s="16" t="n"/>
      <c r="E446" s="16" t="n"/>
      <c r="F446" s="34" t="n"/>
      <c r="G446" s="18" t="n"/>
      <c r="H446" s="35">
        <f>IF($F446="","",$F446*$G446/100)</f>
        <v/>
      </c>
      <c r="I446" s="18" t="n"/>
      <c r="J446" s="35">
        <f>IF($F446="","",$H446*$I446/100)</f>
        <v/>
      </c>
      <c r="K446" s="18" t="n"/>
      <c r="L446" s="35">
        <f>IF($F446="","",$F446*$K446/100)</f>
        <v/>
      </c>
      <c r="M446" s="20">
        <f>IF($A446="","",ROUNDUP(MONTH($A446)/3,0))</f>
        <v/>
      </c>
    </row>
    <row r="447">
      <c r="A447" s="33" t="n"/>
      <c r="B447" s="16" t="n"/>
      <c r="C447" s="16" t="n"/>
      <c r="D447" s="16" t="n"/>
      <c r="E447" s="16" t="n"/>
      <c r="F447" s="34" t="n"/>
      <c r="G447" s="18" t="n"/>
      <c r="H447" s="35">
        <f>IF($F447="","",$F447*$G447/100)</f>
        <v/>
      </c>
      <c r="I447" s="18" t="n"/>
      <c r="J447" s="35">
        <f>IF($F447="","",$H447*$I447/100)</f>
        <v/>
      </c>
      <c r="K447" s="18" t="n"/>
      <c r="L447" s="35">
        <f>IF($F447="","",$F447*$K447/100)</f>
        <v/>
      </c>
      <c r="M447" s="20">
        <f>IF($A447="","",ROUNDUP(MONTH($A447)/3,0))</f>
        <v/>
      </c>
    </row>
    <row r="448">
      <c r="A448" s="33" t="n"/>
      <c r="B448" s="16" t="n"/>
      <c r="C448" s="16" t="n"/>
      <c r="D448" s="16" t="n"/>
      <c r="E448" s="16" t="n"/>
      <c r="F448" s="34" t="n"/>
      <c r="G448" s="18" t="n"/>
      <c r="H448" s="35">
        <f>IF($F448="","",$F448*$G448/100)</f>
        <v/>
      </c>
      <c r="I448" s="18" t="n"/>
      <c r="J448" s="35">
        <f>IF($F448="","",$H448*$I448/100)</f>
        <v/>
      </c>
      <c r="K448" s="18" t="n"/>
      <c r="L448" s="35">
        <f>IF($F448="","",$F448*$K448/100)</f>
        <v/>
      </c>
      <c r="M448" s="20">
        <f>IF($A448="","",ROUNDUP(MONTH($A448)/3,0))</f>
        <v/>
      </c>
    </row>
    <row r="449">
      <c r="A449" s="33" t="n"/>
      <c r="B449" s="16" t="n"/>
      <c r="C449" s="16" t="n"/>
      <c r="D449" s="16" t="n"/>
      <c r="E449" s="16" t="n"/>
      <c r="F449" s="34" t="n"/>
      <c r="G449" s="18" t="n"/>
      <c r="H449" s="35">
        <f>IF($F449="","",$F449*$G449/100)</f>
        <v/>
      </c>
      <c r="I449" s="18" t="n"/>
      <c r="J449" s="35">
        <f>IF($F449="","",$H449*$I449/100)</f>
        <v/>
      </c>
      <c r="K449" s="18" t="n"/>
      <c r="L449" s="35">
        <f>IF($F449="","",$F449*$K449/100)</f>
        <v/>
      </c>
      <c r="M449" s="20">
        <f>IF($A449="","",ROUNDUP(MONTH($A449)/3,0))</f>
        <v/>
      </c>
    </row>
    <row r="450">
      <c r="A450" s="33" t="n"/>
      <c r="B450" s="16" t="n"/>
      <c r="C450" s="16" t="n"/>
      <c r="D450" s="16" t="n"/>
      <c r="E450" s="16" t="n"/>
      <c r="F450" s="34" t="n"/>
      <c r="G450" s="18" t="n"/>
      <c r="H450" s="35">
        <f>IF($F450="","",$F450*$G450/100)</f>
        <v/>
      </c>
      <c r="I450" s="18" t="n"/>
      <c r="J450" s="35">
        <f>IF($F450="","",$H450*$I450/100)</f>
        <v/>
      </c>
      <c r="K450" s="18" t="n"/>
      <c r="L450" s="35">
        <f>IF($F450="","",$F450*$K450/100)</f>
        <v/>
      </c>
      <c r="M450" s="20">
        <f>IF($A450="","",ROUNDUP(MONTH($A450)/3,0))</f>
        <v/>
      </c>
    </row>
    <row r="451">
      <c r="A451" s="33" t="n"/>
      <c r="B451" s="16" t="n"/>
      <c r="C451" s="16" t="n"/>
      <c r="D451" s="16" t="n"/>
      <c r="E451" s="16" t="n"/>
      <c r="F451" s="34" t="n"/>
      <c r="G451" s="18" t="n"/>
      <c r="H451" s="35">
        <f>IF($F451="","",$F451*$G451/100)</f>
        <v/>
      </c>
      <c r="I451" s="18" t="n"/>
      <c r="J451" s="35">
        <f>IF($F451="","",$H451*$I451/100)</f>
        <v/>
      </c>
      <c r="K451" s="18" t="n"/>
      <c r="L451" s="35">
        <f>IF($F451="","",$F451*$K451/100)</f>
        <v/>
      </c>
      <c r="M451" s="20">
        <f>IF($A451="","",ROUNDUP(MONTH($A451)/3,0))</f>
        <v/>
      </c>
    </row>
    <row r="452">
      <c r="A452" s="33" t="n"/>
      <c r="B452" s="16" t="n"/>
      <c r="C452" s="16" t="n"/>
      <c r="D452" s="16" t="n"/>
      <c r="E452" s="16" t="n"/>
      <c r="F452" s="34" t="n"/>
      <c r="G452" s="18" t="n"/>
      <c r="H452" s="35">
        <f>IF($F452="","",$F452*$G452/100)</f>
        <v/>
      </c>
      <c r="I452" s="18" t="n"/>
      <c r="J452" s="35">
        <f>IF($F452="","",$H452*$I452/100)</f>
        <v/>
      </c>
      <c r="K452" s="18" t="n"/>
      <c r="L452" s="35">
        <f>IF($F452="","",$F452*$K452/100)</f>
        <v/>
      </c>
      <c r="M452" s="20">
        <f>IF($A452="","",ROUNDUP(MONTH($A452)/3,0))</f>
        <v/>
      </c>
    </row>
    <row r="453">
      <c r="A453" s="33" t="n"/>
      <c r="B453" s="16" t="n"/>
      <c r="C453" s="16" t="n"/>
      <c r="D453" s="16" t="n"/>
      <c r="E453" s="16" t="n"/>
      <c r="F453" s="34" t="n"/>
      <c r="G453" s="18" t="n"/>
      <c r="H453" s="35">
        <f>IF($F453="","",$F453*$G453/100)</f>
        <v/>
      </c>
      <c r="I453" s="18" t="n"/>
      <c r="J453" s="35">
        <f>IF($F453="","",$H453*$I453/100)</f>
        <v/>
      </c>
      <c r="K453" s="18" t="n"/>
      <c r="L453" s="35">
        <f>IF($F453="","",$F453*$K453/100)</f>
        <v/>
      </c>
      <c r="M453" s="20">
        <f>IF($A453="","",ROUNDUP(MONTH($A453)/3,0))</f>
        <v/>
      </c>
    </row>
    <row r="454">
      <c r="A454" s="33" t="n"/>
      <c r="B454" s="16" t="n"/>
      <c r="C454" s="16" t="n"/>
      <c r="D454" s="16" t="n"/>
      <c r="E454" s="16" t="n"/>
      <c r="F454" s="34" t="n"/>
      <c r="G454" s="18" t="n"/>
      <c r="H454" s="35">
        <f>IF($F454="","",$F454*$G454/100)</f>
        <v/>
      </c>
      <c r="I454" s="18" t="n"/>
      <c r="J454" s="35">
        <f>IF($F454="","",$H454*$I454/100)</f>
        <v/>
      </c>
      <c r="K454" s="18" t="n"/>
      <c r="L454" s="35">
        <f>IF($F454="","",$F454*$K454/100)</f>
        <v/>
      </c>
      <c r="M454" s="20">
        <f>IF($A454="","",ROUNDUP(MONTH($A454)/3,0))</f>
        <v/>
      </c>
    </row>
    <row r="455">
      <c r="A455" s="33" t="n"/>
      <c r="B455" s="16" t="n"/>
      <c r="C455" s="16" t="n"/>
      <c r="D455" s="16" t="n"/>
      <c r="E455" s="16" t="n"/>
      <c r="F455" s="34" t="n"/>
      <c r="G455" s="18" t="n"/>
      <c r="H455" s="35">
        <f>IF($F455="","",$F455*$G455/100)</f>
        <v/>
      </c>
      <c r="I455" s="18" t="n"/>
      <c r="J455" s="35">
        <f>IF($F455="","",$H455*$I455/100)</f>
        <v/>
      </c>
      <c r="K455" s="18" t="n"/>
      <c r="L455" s="35">
        <f>IF($F455="","",$F455*$K455/100)</f>
        <v/>
      </c>
      <c r="M455" s="20">
        <f>IF($A455="","",ROUNDUP(MONTH($A455)/3,0))</f>
        <v/>
      </c>
    </row>
    <row r="456">
      <c r="A456" s="33" t="n"/>
      <c r="B456" s="16" t="n"/>
      <c r="C456" s="16" t="n"/>
      <c r="D456" s="16" t="n"/>
      <c r="E456" s="16" t="n"/>
      <c r="F456" s="34" t="n"/>
      <c r="G456" s="18" t="n"/>
      <c r="H456" s="35">
        <f>IF($F456="","",$F456*$G456/100)</f>
        <v/>
      </c>
      <c r="I456" s="18" t="n"/>
      <c r="J456" s="35">
        <f>IF($F456="","",$H456*$I456/100)</f>
        <v/>
      </c>
      <c r="K456" s="18" t="n"/>
      <c r="L456" s="35">
        <f>IF($F456="","",$F456*$K456/100)</f>
        <v/>
      </c>
      <c r="M456" s="20">
        <f>IF($A456="","",ROUNDUP(MONTH($A456)/3,0))</f>
        <v/>
      </c>
    </row>
    <row r="457">
      <c r="A457" s="33" t="n"/>
      <c r="B457" s="16" t="n"/>
      <c r="C457" s="16" t="n"/>
      <c r="D457" s="16" t="n"/>
      <c r="E457" s="16" t="n"/>
      <c r="F457" s="34" t="n"/>
      <c r="G457" s="18" t="n"/>
      <c r="H457" s="35">
        <f>IF($F457="","",$F457*$G457/100)</f>
        <v/>
      </c>
      <c r="I457" s="18" t="n"/>
      <c r="J457" s="35">
        <f>IF($F457="","",$H457*$I457/100)</f>
        <v/>
      </c>
      <c r="K457" s="18" t="n"/>
      <c r="L457" s="35">
        <f>IF($F457="","",$F457*$K457/100)</f>
        <v/>
      </c>
      <c r="M457" s="20">
        <f>IF($A457="","",ROUNDUP(MONTH($A457)/3,0))</f>
        <v/>
      </c>
    </row>
    <row r="458">
      <c r="A458" s="33" t="n"/>
      <c r="B458" s="16" t="n"/>
      <c r="C458" s="16" t="n"/>
      <c r="D458" s="16" t="n"/>
      <c r="E458" s="16" t="n"/>
      <c r="F458" s="34" t="n"/>
      <c r="G458" s="18" t="n"/>
      <c r="H458" s="35">
        <f>IF($F458="","",$F458*$G458/100)</f>
        <v/>
      </c>
      <c r="I458" s="18" t="n"/>
      <c r="J458" s="35">
        <f>IF($F458="","",$H458*$I458/100)</f>
        <v/>
      </c>
      <c r="K458" s="18" t="n"/>
      <c r="L458" s="35">
        <f>IF($F458="","",$F458*$K458/100)</f>
        <v/>
      </c>
      <c r="M458" s="20">
        <f>IF($A458="","",ROUNDUP(MONTH($A458)/3,0))</f>
        <v/>
      </c>
    </row>
    <row r="459">
      <c r="A459" s="33" t="n"/>
      <c r="B459" s="16" t="n"/>
      <c r="C459" s="16" t="n"/>
      <c r="D459" s="16" t="n"/>
      <c r="E459" s="16" t="n"/>
      <c r="F459" s="34" t="n"/>
      <c r="G459" s="18" t="n"/>
      <c r="H459" s="35">
        <f>IF($F459="","",$F459*$G459/100)</f>
        <v/>
      </c>
      <c r="I459" s="18" t="n"/>
      <c r="J459" s="35">
        <f>IF($F459="","",$H459*$I459/100)</f>
        <v/>
      </c>
      <c r="K459" s="18" t="n"/>
      <c r="L459" s="35">
        <f>IF($F459="","",$F459*$K459/100)</f>
        <v/>
      </c>
      <c r="M459" s="20">
        <f>IF($A459="","",ROUNDUP(MONTH($A459)/3,0))</f>
        <v/>
      </c>
    </row>
    <row r="460">
      <c r="A460" s="33" t="n"/>
      <c r="B460" s="16" t="n"/>
      <c r="C460" s="16" t="n"/>
      <c r="D460" s="16" t="n"/>
      <c r="E460" s="16" t="n"/>
      <c r="F460" s="34" t="n"/>
      <c r="G460" s="18" t="n"/>
      <c r="H460" s="35">
        <f>IF($F460="","",$F460*$G460/100)</f>
        <v/>
      </c>
      <c r="I460" s="18" t="n"/>
      <c r="J460" s="35">
        <f>IF($F460="","",$H460*$I460/100)</f>
        <v/>
      </c>
      <c r="K460" s="18" t="n"/>
      <c r="L460" s="35">
        <f>IF($F460="","",$F460*$K460/100)</f>
        <v/>
      </c>
      <c r="M460" s="20">
        <f>IF($A460="","",ROUNDUP(MONTH($A460)/3,0))</f>
        <v/>
      </c>
    </row>
    <row r="461">
      <c r="A461" s="33" t="n"/>
      <c r="B461" s="16" t="n"/>
      <c r="C461" s="16" t="n"/>
      <c r="D461" s="16" t="n"/>
      <c r="E461" s="16" t="n"/>
      <c r="F461" s="34" t="n"/>
      <c r="G461" s="18" t="n"/>
      <c r="H461" s="35">
        <f>IF($F461="","",$F461*$G461/100)</f>
        <v/>
      </c>
      <c r="I461" s="18" t="n"/>
      <c r="J461" s="35">
        <f>IF($F461="","",$H461*$I461/100)</f>
        <v/>
      </c>
      <c r="K461" s="18" t="n"/>
      <c r="L461" s="35">
        <f>IF($F461="","",$F461*$K461/100)</f>
        <v/>
      </c>
      <c r="M461" s="20">
        <f>IF($A461="","",ROUNDUP(MONTH($A461)/3,0))</f>
        <v/>
      </c>
    </row>
    <row r="462">
      <c r="A462" s="33" t="n"/>
      <c r="B462" s="16" t="n"/>
      <c r="C462" s="16" t="n"/>
      <c r="D462" s="16" t="n"/>
      <c r="E462" s="16" t="n"/>
      <c r="F462" s="34" t="n"/>
      <c r="G462" s="18" t="n"/>
      <c r="H462" s="35">
        <f>IF($F462="","",$F462*$G462/100)</f>
        <v/>
      </c>
      <c r="I462" s="18" t="n"/>
      <c r="J462" s="35">
        <f>IF($F462="","",$H462*$I462/100)</f>
        <v/>
      </c>
      <c r="K462" s="18" t="n"/>
      <c r="L462" s="35">
        <f>IF($F462="","",$F462*$K462/100)</f>
        <v/>
      </c>
      <c r="M462" s="20">
        <f>IF($A462="","",ROUNDUP(MONTH($A462)/3,0))</f>
        <v/>
      </c>
    </row>
    <row r="463">
      <c r="A463" s="33" t="n"/>
      <c r="B463" s="16" t="n"/>
      <c r="C463" s="16" t="n"/>
      <c r="D463" s="16" t="n"/>
      <c r="E463" s="16" t="n"/>
      <c r="F463" s="34" t="n"/>
      <c r="G463" s="18" t="n"/>
      <c r="H463" s="35">
        <f>IF($F463="","",$F463*$G463/100)</f>
        <v/>
      </c>
      <c r="I463" s="18" t="n"/>
      <c r="J463" s="35">
        <f>IF($F463="","",$H463*$I463/100)</f>
        <v/>
      </c>
      <c r="K463" s="18" t="n"/>
      <c r="L463" s="35">
        <f>IF($F463="","",$F463*$K463/100)</f>
        <v/>
      </c>
      <c r="M463" s="20">
        <f>IF($A463="","",ROUNDUP(MONTH($A463)/3,0))</f>
        <v/>
      </c>
    </row>
    <row r="464">
      <c r="A464" s="33" t="n"/>
      <c r="B464" s="16" t="n"/>
      <c r="C464" s="16" t="n"/>
      <c r="D464" s="16" t="n"/>
      <c r="E464" s="16" t="n"/>
      <c r="F464" s="34" t="n"/>
      <c r="G464" s="18" t="n"/>
      <c r="H464" s="35">
        <f>IF($F464="","",$F464*$G464/100)</f>
        <v/>
      </c>
      <c r="I464" s="18" t="n"/>
      <c r="J464" s="35">
        <f>IF($F464="","",$H464*$I464/100)</f>
        <v/>
      </c>
      <c r="K464" s="18" t="n"/>
      <c r="L464" s="35">
        <f>IF($F464="","",$F464*$K464/100)</f>
        <v/>
      </c>
      <c r="M464" s="20">
        <f>IF($A464="","",ROUNDUP(MONTH($A464)/3,0))</f>
        <v/>
      </c>
    </row>
    <row r="465">
      <c r="A465" s="33" t="n"/>
      <c r="B465" s="16" t="n"/>
      <c r="C465" s="16" t="n"/>
      <c r="D465" s="16" t="n"/>
      <c r="E465" s="16" t="n"/>
      <c r="F465" s="34" t="n"/>
      <c r="G465" s="18" t="n"/>
      <c r="H465" s="35">
        <f>IF($F465="","",$F465*$G465/100)</f>
        <v/>
      </c>
      <c r="I465" s="18" t="n"/>
      <c r="J465" s="35">
        <f>IF($F465="","",$H465*$I465/100)</f>
        <v/>
      </c>
      <c r="K465" s="18" t="n"/>
      <c r="L465" s="35">
        <f>IF($F465="","",$F465*$K465/100)</f>
        <v/>
      </c>
      <c r="M465" s="20">
        <f>IF($A465="","",ROUNDUP(MONTH($A465)/3,0))</f>
        <v/>
      </c>
    </row>
    <row r="466">
      <c r="A466" s="33" t="n"/>
      <c r="B466" s="16" t="n"/>
      <c r="C466" s="16" t="n"/>
      <c r="D466" s="16" t="n"/>
      <c r="E466" s="16" t="n"/>
      <c r="F466" s="34" t="n"/>
      <c r="G466" s="18" t="n"/>
      <c r="H466" s="35">
        <f>IF($F466="","",$F466*$G466/100)</f>
        <v/>
      </c>
      <c r="I466" s="18" t="n"/>
      <c r="J466" s="35">
        <f>IF($F466="","",$H466*$I466/100)</f>
        <v/>
      </c>
      <c r="K466" s="18" t="n"/>
      <c r="L466" s="35">
        <f>IF($F466="","",$F466*$K466/100)</f>
        <v/>
      </c>
      <c r="M466" s="20">
        <f>IF($A466="","",ROUNDUP(MONTH($A466)/3,0))</f>
        <v/>
      </c>
    </row>
    <row r="467">
      <c r="A467" s="33" t="n"/>
      <c r="B467" s="16" t="n"/>
      <c r="C467" s="16" t="n"/>
      <c r="D467" s="16" t="n"/>
      <c r="E467" s="16" t="n"/>
      <c r="F467" s="34" t="n"/>
      <c r="G467" s="18" t="n"/>
      <c r="H467" s="35">
        <f>IF($F467="","",$F467*$G467/100)</f>
        <v/>
      </c>
      <c r="I467" s="18" t="n"/>
      <c r="J467" s="35">
        <f>IF($F467="","",$H467*$I467/100)</f>
        <v/>
      </c>
      <c r="K467" s="18" t="n"/>
      <c r="L467" s="35">
        <f>IF($F467="","",$F467*$K467/100)</f>
        <v/>
      </c>
      <c r="M467" s="20">
        <f>IF($A467="","",ROUNDUP(MONTH($A467)/3,0))</f>
        <v/>
      </c>
    </row>
    <row r="468">
      <c r="A468" s="33" t="n"/>
      <c r="B468" s="16" t="n"/>
      <c r="C468" s="16" t="n"/>
      <c r="D468" s="16" t="n"/>
      <c r="E468" s="16" t="n"/>
      <c r="F468" s="34" t="n"/>
      <c r="G468" s="18" t="n"/>
      <c r="H468" s="35">
        <f>IF($F468="","",$F468*$G468/100)</f>
        <v/>
      </c>
      <c r="I468" s="18" t="n"/>
      <c r="J468" s="35">
        <f>IF($F468="","",$H468*$I468/100)</f>
        <v/>
      </c>
      <c r="K468" s="18" t="n"/>
      <c r="L468" s="35">
        <f>IF($F468="","",$F468*$K468/100)</f>
        <v/>
      </c>
      <c r="M468" s="20">
        <f>IF($A468="","",ROUNDUP(MONTH($A468)/3,0))</f>
        <v/>
      </c>
    </row>
    <row r="469">
      <c r="A469" s="33" t="n"/>
      <c r="B469" s="16" t="n"/>
      <c r="C469" s="16" t="n"/>
      <c r="D469" s="16" t="n"/>
      <c r="E469" s="16" t="n"/>
      <c r="F469" s="34" t="n"/>
      <c r="G469" s="18" t="n"/>
      <c r="H469" s="35">
        <f>IF($F469="","",$F469*$G469/100)</f>
        <v/>
      </c>
      <c r="I469" s="18" t="n"/>
      <c r="J469" s="35">
        <f>IF($F469="","",$H469*$I469/100)</f>
        <v/>
      </c>
      <c r="K469" s="18" t="n"/>
      <c r="L469" s="35">
        <f>IF($F469="","",$F469*$K469/100)</f>
        <v/>
      </c>
      <c r="M469" s="20">
        <f>IF($A469="","",ROUNDUP(MONTH($A469)/3,0))</f>
        <v/>
      </c>
    </row>
    <row r="470">
      <c r="A470" s="33" t="n"/>
      <c r="B470" s="16" t="n"/>
      <c r="C470" s="16" t="n"/>
      <c r="D470" s="16" t="n"/>
      <c r="E470" s="16" t="n"/>
      <c r="F470" s="34" t="n"/>
      <c r="G470" s="18" t="n"/>
      <c r="H470" s="35">
        <f>IF($F470="","",$F470*$G470/100)</f>
        <v/>
      </c>
      <c r="I470" s="18" t="n"/>
      <c r="J470" s="35">
        <f>IF($F470="","",$H470*$I470/100)</f>
        <v/>
      </c>
      <c r="K470" s="18" t="n"/>
      <c r="L470" s="35">
        <f>IF($F470="","",$F470*$K470/100)</f>
        <v/>
      </c>
      <c r="M470" s="20">
        <f>IF($A470="","",ROUNDUP(MONTH($A470)/3,0))</f>
        <v/>
      </c>
    </row>
    <row r="471">
      <c r="A471" s="33" t="n"/>
      <c r="B471" s="16" t="n"/>
      <c r="C471" s="16" t="n"/>
      <c r="D471" s="16" t="n"/>
      <c r="E471" s="16" t="n"/>
      <c r="F471" s="34" t="n"/>
      <c r="G471" s="18" t="n"/>
      <c r="H471" s="35">
        <f>IF($F471="","",$F471*$G471/100)</f>
        <v/>
      </c>
      <c r="I471" s="18" t="n"/>
      <c r="J471" s="35">
        <f>IF($F471="","",$H471*$I471/100)</f>
        <v/>
      </c>
      <c r="K471" s="18" t="n"/>
      <c r="L471" s="35">
        <f>IF($F471="","",$F471*$K471/100)</f>
        <v/>
      </c>
      <c r="M471" s="20">
        <f>IF($A471="","",ROUNDUP(MONTH($A471)/3,0))</f>
        <v/>
      </c>
    </row>
    <row r="472">
      <c r="A472" s="33" t="n"/>
      <c r="B472" s="16" t="n"/>
      <c r="C472" s="16" t="n"/>
      <c r="D472" s="16" t="n"/>
      <c r="E472" s="16" t="n"/>
      <c r="F472" s="34" t="n"/>
      <c r="G472" s="18" t="n"/>
      <c r="H472" s="35">
        <f>IF($F472="","",$F472*$G472/100)</f>
        <v/>
      </c>
      <c r="I472" s="18" t="n"/>
      <c r="J472" s="35">
        <f>IF($F472="","",$H472*$I472/100)</f>
        <v/>
      </c>
      <c r="K472" s="18" t="n"/>
      <c r="L472" s="35">
        <f>IF($F472="","",$F472*$K472/100)</f>
        <v/>
      </c>
      <c r="M472" s="20">
        <f>IF($A472="","",ROUNDUP(MONTH($A472)/3,0))</f>
        <v/>
      </c>
    </row>
    <row r="473">
      <c r="A473" s="33" t="n"/>
      <c r="B473" s="16" t="n"/>
      <c r="C473" s="16" t="n"/>
      <c r="D473" s="16" t="n"/>
      <c r="E473" s="16" t="n"/>
      <c r="F473" s="34" t="n"/>
      <c r="G473" s="18" t="n"/>
      <c r="H473" s="35">
        <f>IF($F473="","",$F473*$G473/100)</f>
        <v/>
      </c>
      <c r="I473" s="18" t="n"/>
      <c r="J473" s="35">
        <f>IF($F473="","",$H473*$I473/100)</f>
        <v/>
      </c>
      <c r="K473" s="18" t="n"/>
      <c r="L473" s="35">
        <f>IF($F473="","",$F473*$K473/100)</f>
        <v/>
      </c>
      <c r="M473" s="20">
        <f>IF($A473="","",ROUNDUP(MONTH($A473)/3,0))</f>
        <v/>
      </c>
    </row>
    <row r="474">
      <c r="A474" s="33" t="n"/>
      <c r="B474" s="16" t="n"/>
      <c r="C474" s="16" t="n"/>
      <c r="D474" s="16" t="n"/>
      <c r="E474" s="16" t="n"/>
      <c r="F474" s="34" t="n"/>
      <c r="G474" s="18" t="n"/>
      <c r="H474" s="35">
        <f>IF($F474="","",$F474*$G474/100)</f>
        <v/>
      </c>
      <c r="I474" s="18" t="n"/>
      <c r="J474" s="35">
        <f>IF($F474="","",$H474*$I474/100)</f>
        <v/>
      </c>
      <c r="K474" s="18" t="n"/>
      <c r="L474" s="35">
        <f>IF($F474="","",$F474*$K474/100)</f>
        <v/>
      </c>
      <c r="M474" s="20">
        <f>IF($A474="","",ROUNDUP(MONTH($A474)/3,0))</f>
        <v/>
      </c>
    </row>
    <row r="475">
      <c r="A475" s="33" t="n"/>
      <c r="B475" s="16" t="n"/>
      <c r="C475" s="16" t="n"/>
      <c r="D475" s="16" t="n"/>
      <c r="E475" s="16" t="n"/>
      <c r="F475" s="34" t="n"/>
      <c r="G475" s="18" t="n"/>
      <c r="H475" s="35">
        <f>IF($F475="","",$F475*$G475/100)</f>
        <v/>
      </c>
      <c r="I475" s="18" t="n"/>
      <c r="J475" s="35">
        <f>IF($F475="","",$H475*$I475/100)</f>
        <v/>
      </c>
      <c r="K475" s="18" t="n"/>
      <c r="L475" s="35">
        <f>IF($F475="","",$F475*$K475/100)</f>
        <v/>
      </c>
      <c r="M475" s="20">
        <f>IF($A475="","",ROUNDUP(MONTH($A475)/3,0))</f>
        <v/>
      </c>
    </row>
    <row r="476">
      <c r="A476" s="33" t="n"/>
      <c r="B476" s="16" t="n"/>
      <c r="C476" s="16" t="n"/>
      <c r="D476" s="16" t="n"/>
      <c r="E476" s="16" t="n"/>
      <c r="F476" s="34" t="n"/>
      <c r="G476" s="18" t="n"/>
      <c r="H476" s="35">
        <f>IF($F476="","",$F476*$G476/100)</f>
        <v/>
      </c>
      <c r="I476" s="18" t="n"/>
      <c r="J476" s="35">
        <f>IF($F476="","",$H476*$I476/100)</f>
        <v/>
      </c>
      <c r="K476" s="18" t="n"/>
      <c r="L476" s="35">
        <f>IF($F476="","",$F476*$K476/100)</f>
        <v/>
      </c>
      <c r="M476" s="20">
        <f>IF($A476="","",ROUNDUP(MONTH($A476)/3,0))</f>
        <v/>
      </c>
    </row>
    <row r="477">
      <c r="A477" s="33" t="n"/>
      <c r="B477" s="16" t="n"/>
      <c r="C477" s="16" t="n"/>
      <c r="D477" s="16" t="n"/>
      <c r="E477" s="16" t="n"/>
      <c r="F477" s="34" t="n"/>
      <c r="G477" s="18" t="n"/>
      <c r="H477" s="35">
        <f>IF($F477="","",$F477*$G477/100)</f>
        <v/>
      </c>
      <c r="I477" s="18" t="n"/>
      <c r="J477" s="35">
        <f>IF($F477="","",$H477*$I477/100)</f>
        <v/>
      </c>
      <c r="K477" s="18" t="n"/>
      <c r="L477" s="35">
        <f>IF($F477="","",$F477*$K477/100)</f>
        <v/>
      </c>
      <c r="M477" s="20">
        <f>IF($A477="","",ROUNDUP(MONTH($A477)/3,0))</f>
        <v/>
      </c>
    </row>
    <row r="478">
      <c r="A478" s="33" t="n"/>
      <c r="B478" s="16" t="n"/>
      <c r="C478" s="16" t="n"/>
      <c r="D478" s="16" t="n"/>
      <c r="E478" s="16" t="n"/>
      <c r="F478" s="34" t="n"/>
      <c r="G478" s="18" t="n"/>
      <c r="H478" s="35">
        <f>IF($F478="","",$F478*$G478/100)</f>
        <v/>
      </c>
      <c r="I478" s="18" t="n"/>
      <c r="J478" s="35">
        <f>IF($F478="","",$H478*$I478/100)</f>
        <v/>
      </c>
      <c r="K478" s="18" t="n"/>
      <c r="L478" s="35">
        <f>IF($F478="","",$F478*$K478/100)</f>
        <v/>
      </c>
      <c r="M478" s="20">
        <f>IF($A478="","",ROUNDUP(MONTH($A478)/3,0))</f>
        <v/>
      </c>
    </row>
    <row r="479">
      <c r="A479" s="33" t="n"/>
      <c r="B479" s="16" t="n"/>
      <c r="C479" s="16" t="n"/>
      <c r="D479" s="16" t="n"/>
      <c r="E479" s="16" t="n"/>
      <c r="F479" s="34" t="n"/>
      <c r="G479" s="18" t="n"/>
      <c r="H479" s="35">
        <f>IF($F479="","",$F479*$G479/100)</f>
        <v/>
      </c>
      <c r="I479" s="18" t="n"/>
      <c r="J479" s="35">
        <f>IF($F479="","",$H479*$I479/100)</f>
        <v/>
      </c>
      <c r="K479" s="18" t="n"/>
      <c r="L479" s="35">
        <f>IF($F479="","",$F479*$K479/100)</f>
        <v/>
      </c>
      <c r="M479" s="20">
        <f>IF($A479="","",ROUNDUP(MONTH($A479)/3,0))</f>
        <v/>
      </c>
    </row>
    <row r="480">
      <c r="A480" s="33" t="n"/>
      <c r="B480" s="16" t="n"/>
      <c r="C480" s="16" t="n"/>
      <c r="D480" s="16" t="n"/>
      <c r="E480" s="16" t="n"/>
      <c r="F480" s="34" t="n"/>
      <c r="G480" s="18" t="n"/>
      <c r="H480" s="35">
        <f>IF($F480="","",$F480*$G480/100)</f>
        <v/>
      </c>
      <c r="I480" s="18" t="n"/>
      <c r="J480" s="35">
        <f>IF($F480="","",$H480*$I480/100)</f>
        <v/>
      </c>
      <c r="K480" s="18" t="n"/>
      <c r="L480" s="35">
        <f>IF($F480="","",$F480*$K480/100)</f>
        <v/>
      </c>
      <c r="M480" s="20">
        <f>IF($A480="","",ROUNDUP(MONTH($A480)/3,0))</f>
        <v/>
      </c>
    </row>
    <row r="481">
      <c r="A481" s="33" t="n"/>
      <c r="B481" s="16" t="n"/>
      <c r="C481" s="16" t="n"/>
      <c r="D481" s="16" t="n"/>
      <c r="E481" s="16" t="n"/>
      <c r="F481" s="34" t="n"/>
      <c r="G481" s="18" t="n"/>
      <c r="H481" s="35">
        <f>IF($F481="","",$F481*$G481/100)</f>
        <v/>
      </c>
      <c r="I481" s="18" t="n"/>
      <c r="J481" s="35">
        <f>IF($F481="","",$H481*$I481/100)</f>
        <v/>
      </c>
      <c r="K481" s="18" t="n"/>
      <c r="L481" s="35">
        <f>IF($F481="","",$F481*$K481/100)</f>
        <v/>
      </c>
      <c r="M481" s="20">
        <f>IF($A481="","",ROUNDUP(MONTH($A481)/3,0))</f>
        <v/>
      </c>
    </row>
    <row r="482">
      <c r="A482" s="33" t="n"/>
      <c r="B482" s="16" t="n"/>
      <c r="C482" s="16" t="n"/>
      <c r="D482" s="16" t="n"/>
      <c r="E482" s="16" t="n"/>
      <c r="F482" s="34" t="n"/>
      <c r="G482" s="18" t="n"/>
      <c r="H482" s="35">
        <f>IF($F482="","",$F482*$G482/100)</f>
        <v/>
      </c>
      <c r="I482" s="18" t="n"/>
      <c r="J482" s="35">
        <f>IF($F482="","",$H482*$I482/100)</f>
        <v/>
      </c>
      <c r="K482" s="18" t="n"/>
      <c r="L482" s="35">
        <f>IF($F482="","",$F482*$K482/100)</f>
        <v/>
      </c>
      <c r="M482" s="20">
        <f>IF($A482="","",ROUNDUP(MONTH($A482)/3,0))</f>
        <v/>
      </c>
    </row>
    <row r="483">
      <c r="A483" s="33" t="n"/>
      <c r="B483" s="16" t="n"/>
      <c r="C483" s="16" t="n"/>
      <c r="D483" s="16" t="n"/>
      <c r="E483" s="16" t="n"/>
      <c r="F483" s="34" t="n"/>
      <c r="G483" s="18" t="n"/>
      <c r="H483" s="35">
        <f>IF($F483="","",$F483*$G483/100)</f>
        <v/>
      </c>
      <c r="I483" s="18" t="n"/>
      <c r="J483" s="35">
        <f>IF($F483="","",$H483*$I483/100)</f>
        <v/>
      </c>
      <c r="K483" s="18" t="n"/>
      <c r="L483" s="35">
        <f>IF($F483="","",$F483*$K483/100)</f>
        <v/>
      </c>
      <c r="M483" s="20">
        <f>IF($A483="","",ROUNDUP(MONTH($A483)/3,0))</f>
        <v/>
      </c>
    </row>
    <row r="484">
      <c r="A484" s="33" t="n"/>
      <c r="B484" s="16" t="n"/>
      <c r="C484" s="16" t="n"/>
      <c r="D484" s="16" t="n"/>
      <c r="E484" s="16" t="n"/>
      <c r="F484" s="34" t="n"/>
      <c r="G484" s="18" t="n"/>
      <c r="H484" s="35">
        <f>IF($F484="","",$F484*$G484/100)</f>
        <v/>
      </c>
      <c r="I484" s="18" t="n"/>
      <c r="J484" s="35">
        <f>IF($F484="","",$H484*$I484/100)</f>
        <v/>
      </c>
      <c r="K484" s="18" t="n"/>
      <c r="L484" s="35">
        <f>IF($F484="","",$F484*$K484/100)</f>
        <v/>
      </c>
      <c r="M484" s="20">
        <f>IF($A484="","",ROUNDUP(MONTH($A484)/3,0))</f>
        <v/>
      </c>
    </row>
    <row r="485">
      <c r="A485" s="33" t="n"/>
      <c r="B485" s="16" t="n"/>
      <c r="C485" s="16" t="n"/>
      <c r="D485" s="16" t="n"/>
      <c r="E485" s="16" t="n"/>
      <c r="F485" s="34" t="n"/>
      <c r="G485" s="18" t="n"/>
      <c r="H485" s="35">
        <f>IF($F485="","",$F485*$G485/100)</f>
        <v/>
      </c>
      <c r="I485" s="18" t="n"/>
      <c r="J485" s="35">
        <f>IF($F485="","",$H485*$I485/100)</f>
        <v/>
      </c>
      <c r="K485" s="18" t="n"/>
      <c r="L485" s="35">
        <f>IF($F485="","",$F485*$K485/100)</f>
        <v/>
      </c>
      <c r="M485" s="20">
        <f>IF($A485="","",ROUNDUP(MONTH($A485)/3,0))</f>
        <v/>
      </c>
    </row>
    <row r="486">
      <c r="A486" s="33" t="n"/>
      <c r="B486" s="16" t="n"/>
      <c r="C486" s="16" t="n"/>
      <c r="D486" s="16" t="n"/>
      <c r="E486" s="16" t="n"/>
      <c r="F486" s="34" t="n"/>
      <c r="G486" s="18" t="n"/>
      <c r="H486" s="35">
        <f>IF($F486="","",$F486*$G486/100)</f>
        <v/>
      </c>
      <c r="I486" s="18" t="n"/>
      <c r="J486" s="35">
        <f>IF($F486="","",$H486*$I486/100)</f>
        <v/>
      </c>
      <c r="K486" s="18" t="n"/>
      <c r="L486" s="35">
        <f>IF($F486="","",$F486*$K486/100)</f>
        <v/>
      </c>
      <c r="M486" s="20">
        <f>IF($A486="","",ROUNDUP(MONTH($A486)/3,0))</f>
        <v/>
      </c>
    </row>
    <row r="487">
      <c r="A487" s="33" t="n"/>
      <c r="B487" s="16" t="n"/>
      <c r="C487" s="16" t="n"/>
      <c r="D487" s="16" t="n"/>
      <c r="E487" s="16" t="n"/>
      <c r="F487" s="34" t="n"/>
      <c r="G487" s="18" t="n"/>
      <c r="H487" s="35">
        <f>IF($F487="","",$F487*$G487/100)</f>
        <v/>
      </c>
      <c r="I487" s="18" t="n"/>
      <c r="J487" s="35">
        <f>IF($F487="","",$H487*$I487/100)</f>
        <v/>
      </c>
      <c r="K487" s="18" t="n"/>
      <c r="L487" s="35">
        <f>IF($F487="","",$F487*$K487/100)</f>
        <v/>
      </c>
      <c r="M487" s="20">
        <f>IF($A487="","",ROUNDUP(MONTH($A487)/3,0))</f>
        <v/>
      </c>
    </row>
    <row r="488">
      <c r="A488" s="33" t="n"/>
      <c r="B488" s="16" t="n"/>
      <c r="C488" s="16" t="n"/>
      <c r="D488" s="16" t="n"/>
      <c r="E488" s="16" t="n"/>
      <c r="F488" s="34" t="n"/>
      <c r="G488" s="18" t="n"/>
      <c r="H488" s="35">
        <f>IF($F488="","",$F488*$G488/100)</f>
        <v/>
      </c>
      <c r="I488" s="18" t="n"/>
      <c r="J488" s="35">
        <f>IF($F488="","",$H488*$I488/100)</f>
        <v/>
      </c>
      <c r="K488" s="18" t="n"/>
      <c r="L488" s="35">
        <f>IF($F488="","",$F488*$K488/100)</f>
        <v/>
      </c>
      <c r="M488" s="20">
        <f>IF($A488="","",ROUNDUP(MONTH($A488)/3,0))</f>
        <v/>
      </c>
    </row>
    <row r="489">
      <c r="A489" s="33" t="n"/>
      <c r="B489" s="16" t="n"/>
      <c r="C489" s="16" t="n"/>
      <c r="D489" s="16" t="n"/>
      <c r="E489" s="16" t="n"/>
      <c r="F489" s="34" t="n"/>
      <c r="G489" s="18" t="n"/>
      <c r="H489" s="35">
        <f>IF($F489="","",$F489*$G489/100)</f>
        <v/>
      </c>
      <c r="I489" s="18" t="n"/>
      <c r="J489" s="35">
        <f>IF($F489="","",$H489*$I489/100)</f>
        <v/>
      </c>
      <c r="K489" s="18" t="n"/>
      <c r="L489" s="35">
        <f>IF($F489="","",$F489*$K489/100)</f>
        <v/>
      </c>
      <c r="M489" s="20">
        <f>IF($A489="","",ROUNDUP(MONTH($A489)/3,0))</f>
        <v/>
      </c>
    </row>
    <row r="490">
      <c r="A490" s="33" t="n"/>
      <c r="B490" s="16" t="n"/>
      <c r="C490" s="16" t="n"/>
      <c r="D490" s="16" t="n"/>
      <c r="E490" s="16" t="n"/>
      <c r="F490" s="34" t="n"/>
      <c r="G490" s="18" t="n"/>
      <c r="H490" s="35">
        <f>IF($F490="","",$F490*$G490/100)</f>
        <v/>
      </c>
      <c r="I490" s="18" t="n"/>
      <c r="J490" s="35">
        <f>IF($F490="","",$H490*$I490/100)</f>
        <v/>
      </c>
      <c r="K490" s="18" t="n"/>
      <c r="L490" s="35">
        <f>IF($F490="","",$F490*$K490/100)</f>
        <v/>
      </c>
      <c r="M490" s="20">
        <f>IF($A490="","",ROUNDUP(MONTH($A490)/3,0))</f>
        <v/>
      </c>
    </row>
    <row r="491">
      <c r="A491" s="33" t="n"/>
      <c r="B491" s="16" t="n"/>
      <c r="C491" s="16" t="n"/>
      <c r="D491" s="16" t="n"/>
      <c r="E491" s="16" t="n"/>
      <c r="F491" s="34" t="n"/>
      <c r="G491" s="18" t="n"/>
      <c r="H491" s="35">
        <f>IF($F491="","",$F491*$G491/100)</f>
        <v/>
      </c>
      <c r="I491" s="18" t="n"/>
      <c r="J491" s="35">
        <f>IF($F491="","",$H491*$I491/100)</f>
        <v/>
      </c>
      <c r="K491" s="18" t="n"/>
      <c r="L491" s="35">
        <f>IF($F491="","",$F491*$K491/100)</f>
        <v/>
      </c>
      <c r="M491" s="20">
        <f>IF($A491="","",ROUNDUP(MONTH($A491)/3,0))</f>
        <v/>
      </c>
    </row>
    <row r="492">
      <c r="A492" s="33" t="n"/>
      <c r="B492" s="16" t="n"/>
      <c r="C492" s="16" t="n"/>
      <c r="D492" s="16" t="n"/>
      <c r="E492" s="16" t="n"/>
      <c r="F492" s="34" t="n"/>
      <c r="G492" s="18" t="n"/>
      <c r="H492" s="35">
        <f>IF($F492="","",$F492*$G492/100)</f>
        <v/>
      </c>
      <c r="I492" s="18" t="n"/>
      <c r="J492" s="35">
        <f>IF($F492="","",$H492*$I492/100)</f>
        <v/>
      </c>
      <c r="K492" s="18" t="n"/>
      <c r="L492" s="35">
        <f>IF($F492="","",$F492*$K492/100)</f>
        <v/>
      </c>
      <c r="M492" s="20">
        <f>IF($A492="","",ROUNDUP(MONTH($A492)/3,0))</f>
        <v/>
      </c>
    </row>
    <row r="493">
      <c r="A493" s="33" t="n"/>
      <c r="B493" s="16" t="n"/>
      <c r="C493" s="16" t="n"/>
      <c r="D493" s="16" t="n"/>
      <c r="E493" s="16" t="n"/>
      <c r="F493" s="34" t="n"/>
      <c r="G493" s="18" t="n"/>
      <c r="H493" s="35">
        <f>IF($F493="","",$F493*$G493/100)</f>
        <v/>
      </c>
      <c r="I493" s="18" t="n"/>
      <c r="J493" s="35">
        <f>IF($F493="","",$H493*$I493/100)</f>
        <v/>
      </c>
      <c r="K493" s="18" t="n"/>
      <c r="L493" s="35">
        <f>IF($F493="","",$F493*$K493/100)</f>
        <v/>
      </c>
      <c r="M493" s="20">
        <f>IF($A493="","",ROUNDUP(MONTH($A493)/3,0))</f>
        <v/>
      </c>
    </row>
    <row r="494">
      <c r="A494" s="33" t="n"/>
      <c r="B494" s="16" t="n"/>
      <c r="C494" s="16" t="n"/>
      <c r="D494" s="16" t="n"/>
      <c r="E494" s="16" t="n"/>
      <c r="F494" s="34" t="n"/>
      <c r="G494" s="18" t="n"/>
      <c r="H494" s="35">
        <f>IF($F494="","",$F494*$G494/100)</f>
        <v/>
      </c>
      <c r="I494" s="18" t="n"/>
      <c r="J494" s="35">
        <f>IF($F494="","",$H494*$I494/100)</f>
        <v/>
      </c>
      <c r="K494" s="18" t="n"/>
      <c r="L494" s="35">
        <f>IF($F494="","",$F494*$K494/100)</f>
        <v/>
      </c>
      <c r="M494" s="20">
        <f>IF($A494="","",ROUNDUP(MONTH($A494)/3,0))</f>
        <v/>
      </c>
    </row>
    <row r="495">
      <c r="A495" s="33" t="n"/>
      <c r="B495" s="16" t="n"/>
      <c r="C495" s="16" t="n"/>
      <c r="D495" s="16" t="n"/>
      <c r="E495" s="16" t="n"/>
      <c r="F495" s="34" t="n"/>
      <c r="G495" s="18" t="n"/>
      <c r="H495" s="35">
        <f>IF($F495="","",$F495*$G495/100)</f>
        <v/>
      </c>
      <c r="I495" s="18" t="n"/>
      <c r="J495" s="35">
        <f>IF($F495="","",$H495*$I495/100)</f>
        <v/>
      </c>
      <c r="K495" s="18" t="n"/>
      <c r="L495" s="35">
        <f>IF($F495="","",$F495*$K495/100)</f>
        <v/>
      </c>
      <c r="M495" s="20">
        <f>IF($A495="","",ROUNDUP(MONTH($A495)/3,0))</f>
        <v/>
      </c>
    </row>
    <row r="496">
      <c r="A496" s="33" t="n"/>
      <c r="B496" s="16" t="n"/>
      <c r="C496" s="16" t="n"/>
      <c r="D496" s="16" t="n"/>
      <c r="E496" s="16" t="n"/>
      <c r="F496" s="34" t="n"/>
      <c r="G496" s="18" t="n"/>
      <c r="H496" s="35">
        <f>IF($F496="","",$F496*$G496/100)</f>
        <v/>
      </c>
      <c r="I496" s="18" t="n"/>
      <c r="J496" s="35">
        <f>IF($F496="","",$H496*$I496/100)</f>
        <v/>
      </c>
      <c r="K496" s="18" t="n"/>
      <c r="L496" s="35">
        <f>IF($F496="","",$F496*$K496/100)</f>
        <v/>
      </c>
      <c r="M496" s="20">
        <f>IF($A496="","",ROUNDUP(MONTH($A496)/3,0))</f>
        <v/>
      </c>
    </row>
    <row r="497">
      <c r="A497" s="33" t="n"/>
      <c r="B497" s="16" t="n"/>
      <c r="C497" s="16" t="n"/>
      <c r="D497" s="16" t="n"/>
      <c r="E497" s="16" t="n"/>
      <c r="F497" s="34" t="n"/>
      <c r="G497" s="18" t="n"/>
      <c r="H497" s="35">
        <f>IF($F497="","",$F497*$G497/100)</f>
        <v/>
      </c>
      <c r="I497" s="18" t="n"/>
      <c r="J497" s="35">
        <f>IF($F497="","",$H497*$I497/100)</f>
        <v/>
      </c>
      <c r="K497" s="18" t="n"/>
      <c r="L497" s="35">
        <f>IF($F497="","",$F497*$K497/100)</f>
        <v/>
      </c>
      <c r="M497" s="20">
        <f>IF($A497="","",ROUNDUP(MONTH($A497)/3,0))</f>
        <v/>
      </c>
    </row>
    <row r="498">
      <c r="A498" s="33" t="n"/>
      <c r="B498" s="16" t="n"/>
      <c r="C498" s="16" t="n"/>
      <c r="D498" s="16" t="n"/>
      <c r="E498" s="16" t="n"/>
      <c r="F498" s="34" t="n"/>
      <c r="G498" s="18" t="n"/>
      <c r="H498" s="35">
        <f>IF($F498="","",$F498*$G498/100)</f>
        <v/>
      </c>
      <c r="I498" s="18" t="n"/>
      <c r="J498" s="35">
        <f>IF($F498="","",$H498*$I498/100)</f>
        <v/>
      </c>
      <c r="K498" s="18" t="n"/>
      <c r="L498" s="35">
        <f>IF($F498="","",$F498*$K498/100)</f>
        <v/>
      </c>
      <c r="M498" s="20">
        <f>IF($A498="","",ROUNDUP(MONTH($A498)/3,0))</f>
        <v/>
      </c>
    </row>
    <row r="499">
      <c r="A499" s="33" t="n"/>
      <c r="B499" s="16" t="n"/>
      <c r="C499" s="16" t="n"/>
      <c r="D499" s="16" t="n"/>
      <c r="E499" s="16" t="n"/>
      <c r="F499" s="34" t="n"/>
      <c r="G499" s="18" t="n"/>
      <c r="H499" s="35">
        <f>IF($F499="","",$F499*$G499/100)</f>
        <v/>
      </c>
      <c r="I499" s="18" t="n"/>
      <c r="J499" s="35">
        <f>IF($F499="","",$H499*$I499/100)</f>
        <v/>
      </c>
      <c r="K499" s="18" t="n"/>
      <c r="L499" s="35">
        <f>IF($F499="","",$F499*$K499/100)</f>
        <v/>
      </c>
      <c r="M499" s="20">
        <f>IF($A499="","",ROUNDUP(MONTH($A499)/3,0))</f>
        <v/>
      </c>
    </row>
    <row r="500">
      <c r="A500" s="33" t="n"/>
      <c r="B500" s="16" t="n"/>
      <c r="C500" s="16" t="n"/>
      <c r="D500" s="16" t="n"/>
      <c r="E500" s="16" t="n"/>
      <c r="F500" s="34" t="n"/>
      <c r="G500" s="18" t="n"/>
      <c r="H500" s="35">
        <f>IF($F500="","",$F500*$G500/100)</f>
        <v/>
      </c>
      <c r="I500" s="18" t="n"/>
      <c r="J500" s="35">
        <f>IF($F500="","",$H500*$I500/100)</f>
        <v/>
      </c>
      <c r="K500" s="18" t="n"/>
      <c r="L500" s="35">
        <f>IF($F500="","",$F500*$K500/100)</f>
        <v/>
      </c>
      <c r="M500" s="20">
        <f>IF($A500="","",ROUNDUP(MONTH($A500)/3,0))</f>
        <v/>
      </c>
    </row>
    <row r="501">
      <c r="A501" s="33" t="n"/>
      <c r="B501" s="16" t="n"/>
      <c r="C501" s="16" t="n"/>
      <c r="D501" s="16" t="n"/>
      <c r="E501" s="16" t="n"/>
      <c r="F501" s="34" t="n"/>
      <c r="G501" s="18" t="n"/>
      <c r="H501" s="35">
        <f>IF($F501="","",$F501*$G501/100)</f>
        <v/>
      </c>
      <c r="I501" s="18" t="n"/>
      <c r="J501" s="35">
        <f>IF($F501="","",$H501*$I501/100)</f>
        <v/>
      </c>
      <c r="K501" s="18" t="n"/>
      <c r="L501" s="35">
        <f>IF($F501="","",$F501*$K501/100)</f>
        <v/>
      </c>
      <c r="M501" s="20">
        <f>IF($A501="","",ROUNDUP(MONTH($A501)/3,0))</f>
        <v/>
      </c>
    </row>
    <row r="502">
      <c r="A502" s="33" t="n"/>
      <c r="B502" s="16" t="n"/>
      <c r="C502" s="16" t="n"/>
      <c r="D502" s="16" t="n"/>
      <c r="E502" s="16" t="n"/>
      <c r="F502" s="34" t="n"/>
      <c r="G502" s="18" t="n"/>
      <c r="H502" s="35">
        <f>IF($F502="","",$F502*$G502/100)</f>
        <v/>
      </c>
      <c r="I502" s="18" t="n"/>
      <c r="J502" s="35">
        <f>IF($F502="","",$H502*$I502/100)</f>
        <v/>
      </c>
      <c r="K502" s="18" t="n"/>
      <c r="L502" s="35">
        <f>IF($F502="","",$F502*$K502/100)</f>
        <v/>
      </c>
      <c r="M502" s="20">
        <f>IF($A502="","",ROUNDUP(MONTH($A502)/3,0))</f>
        <v/>
      </c>
    </row>
    <row r="503">
      <c r="A503" s="33" t="n"/>
      <c r="B503" s="16" t="n"/>
      <c r="C503" s="16" t="n"/>
      <c r="D503" s="16" t="n"/>
      <c r="E503" s="16" t="n"/>
      <c r="F503" s="34" t="n"/>
      <c r="G503" s="18" t="n"/>
      <c r="H503" s="35">
        <f>IF($F503="","",$F503*$G503/100)</f>
        <v/>
      </c>
      <c r="I503" s="18" t="n"/>
      <c r="J503" s="35">
        <f>IF($F503="","",$H503*$I503/100)</f>
        <v/>
      </c>
      <c r="K503" s="18" t="n"/>
      <c r="L503" s="35">
        <f>IF($F503="","",$F503*$K503/100)</f>
        <v/>
      </c>
      <c r="M503" s="20">
        <f>IF($A503="","",ROUNDUP(MONTH($A503)/3,0))</f>
        <v/>
      </c>
    </row>
    <row r="504">
      <c r="A504" s="33" t="n"/>
      <c r="B504" s="16" t="n"/>
      <c r="C504" s="16" t="n"/>
      <c r="D504" s="16" t="n"/>
      <c r="E504" s="16" t="n"/>
      <c r="F504" s="34" t="n"/>
      <c r="G504" s="18" t="n"/>
      <c r="H504" s="35">
        <f>IF($F504="","",$F504*$G504/100)</f>
        <v/>
      </c>
      <c r="I504" s="18" t="n"/>
      <c r="J504" s="35">
        <f>IF($F504="","",$H504*$I504/100)</f>
        <v/>
      </c>
      <c r="K504" s="18" t="n"/>
      <c r="L504" s="35">
        <f>IF($F504="","",$F504*$K504/100)</f>
        <v/>
      </c>
      <c r="M504" s="20">
        <f>IF($A504="","",ROUNDUP(MONTH($A504)/3,0))</f>
        <v/>
      </c>
    </row>
    <row r="505">
      <c r="A505" s="33" t="n"/>
      <c r="B505" s="16" t="n"/>
      <c r="C505" s="16" t="n"/>
      <c r="D505" s="16" t="n"/>
      <c r="E505" s="16" t="n"/>
      <c r="F505" s="34" t="n"/>
      <c r="G505" s="18" t="n"/>
      <c r="H505" s="35">
        <f>IF($F505="","",$F505*$G505/100)</f>
        <v/>
      </c>
      <c r="I505" s="18" t="n"/>
      <c r="J505" s="35">
        <f>IF($F505="","",$H505*$I505/100)</f>
        <v/>
      </c>
      <c r="K505" s="18" t="n"/>
      <c r="L505" s="35">
        <f>IF($F505="","",$F505*$K505/100)</f>
        <v/>
      </c>
      <c r="M505" s="20">
        <f>IF($A505="","",ROUNDUP(MONTH($A505)/3,0))</f>
        <v/>
      </c>
    </row>
    <row r="506">
      <c r="A506" s="33" t="n"/>
      <c r="B506" s="16" t="n"/>
      <c r="C506" s="16" t="n"/>
      <c r="D506" s="16" t="n"/>
      <c r="E506" s="16" t="n"/>
      <c r="F506" s="34" t="n"/>
      <c r="G506" s="18" t="n"/>
      <c r="H506" s="35">
        <f>IF($F506="","",$F506*$G506/100)</f>
        <v/>
      </c>
      <c r="I506" s="18" t="n"/>
      <c r="J506" s="35">
        <f>IF($F506="","",$H506*$I506/100)</f>
        <v/>
      </c>
      <c r="K506" s="18" t="n"/>
      <c r="L506" s="35">
        <f>IF($F506="","",$F506*$K506/100)</f>
        <v/>
      </c>
      <c r="M506" s="20">
        <f>IF($A506="","",ROUNDUP(MONTH($A506)/3,0))</f>
        <v/>
      </c>
    </row>
    <row r="507">
      <c r="A507" s="33" t="n"/>
      <c r="B507" s="16" t="n"/>
      <c r="C507" s="16" t="n"/>
      <c r="D507" s="16" t="n"/>
      <c r="E507" s="16" t="n"/>
      <c r="F507" s="34" t="n"/>
      <c r="G507" s="18" t="n"/>
      <c r="H507" s="35">
        <f>IF($F507="","",$F507*$G507/100)</f>
        <v/>
      </c>
      <c r="I507" s="18" t="n"/>
      <c r="J507" s="35">
        <f>IF($F507="","",$H507*$I507/100)</f>
        <v/>
      </c>
      <c r="K507" s="18" t="n"/>
      <c r="L507" s="35">
        <f>IF($F507="","",$F507*$K507/100)</f>
        <v/>
      </c>
      <c r="M507" s="20">
        <f>IF($A507="","",ROUNDUP(MONTH($A507)/3,0))</f>
        <v/>
      </c>
    </row>
    <row r="508">
      <c r="A508" s="33" t="n"/>
      <c r="B508" s="16" t="n"/>
      <c r="C508" s="16" t="n"/>
      <c r="D508" s="16" t="n"/>
      <c r="E508" s="16" t="n"/>
      <c r="F508" s="34" t="n"/>
      <c r="G508" s="18" t="n"/>
      <c r="H508" s="35">
        <f>IF($F508="","",$F508*$G508/100)</f>
        <v/>
      </c>
      <c r="I508" s="18" t="n"/>
      <c r="J508" s="35">
        <f>IF($F508="","",$H508*$I508/100)</f>
        <v/>
      </c>
      <c r="K508" s="18" t="n"/>
      <c r="L508" s="35">
        <f>IF($F508="","",$F508*$K508/100)</f>
        <v/>
      </c>
      <c r="M508" s="20">
        <f>IF($A508="","",ROUNDUP(MONTH($A508)/3,0))</f>
        <v/>
      </c>
    </row>
    <row r="509">
      <c r="A509" s="33" t="n"/>
      <c r="B509" s="16" t="n"/>
      <c r="C509" s="16" t="n"/>
      <c r="D509" s="16" t="n"/>
      <c r="E509" s="16" t="n"/>
      <c r="F509" s="34" t="n"/>
      <c r="G509" s="18" t="n"/>
      <c r="H509" s="35">
        <f>IF($F509="","",$F509*$G509/100)</f>
        <v/>
      </c>
      <c r="I509" s="18" t="n"/>
      <c r="J509" s="35">
        <f>IF($F509="","",$H509*$I509/100)</f>
        <v/>
      </c>
      <c r="K509" s="18" t="n"/>
      <c r="L509" s="35">
        <f>IF($F509="","",$F509*$K509/100)</f>
        <v/>
      </c>
      <c r="M509" s="20">
        <f>IF($A509="","",ROUNDUP(MONTH($A509)/3,0))</f>
        <v/>
      </c>
    </row>
    <row r="510">
      <c r="A510" s="33" t="n"/>
      <c r="B510" s="16" t="n"/>
      <c r="C510" s="16" t="n"/>
      <c r="D510" s="16" t="n"/>
      <c r="E510" s="16" t="n"/>
      <c r="F510" s="34" t="n"/>
      <c r="G510" s="18" t="n"/>
      <c r="H510" s="35">
        <f>IF($F510="","",$F510*$G510/100)</f>
        <v/>
      </c>
      <c r="I510" s="18" t="n"/>
      <c r="J510" s="35">
        <f>IF($F510="","",$H510*$I510/100)</f>
        <v/>
      </c>
      <c r="K510" s="18" t="n"/>
      <c r="L510" s="35">
        <f>IF($F510="","",$F510*$K510/100)</f>
        <v/>
      </c>
      <c r="M510" s="20">
        <f>IF($A510="","",ROUNDUP(MONTH($A510)/3,0))</f>
        <v/>
      </c>
    </row>
    <row r="511">
      <c r="A511" s="33" t="n"/>
      <c r="B511" s="16" t="n"/>
      <c r="C511" s="16" t="n"/>
      <c r="D511" s="16" t="n"/>
      <c r="E511" s="16" t="n"/>
      <c r="F511" s="34" t="n"/>
      <c r="G511" s="18" t="n"/>
      <c r="H511" s="35">
        <f>IF($F511="","",$F511*$G511/100)</f>
        <v/>
      </c>
      <c r="I511" s="18" t="n"/>
      <c r="J511" s="35">
        <f>IF($F511="","",$H511*$I511/100)</f>
        <v/>
      </c>
      <c r="K511" s="18" t="n"/>
      <c r="L511" s="35">
        <f>IF($F511="","",$F511*$K511/100)</f>
        <v/>
      </c>
      <c r="M511" s="20">
        <f>IF($A511="","",ROUNDUP(MONTH($A511)/3,0))</f>
        <v/>
      </c>
    </row>
    <row r="512">
      <c r="A512" s="33" t="n"/>
      <c r="B512" s="16" t="n"/>
      <c r="C512" s="16" t="n"/>
      <c r="D512" s="16" t="n"/>
      <c r="E512" s="16" t="n"/>
      <c r="F512" s="34" t="n"/>
      <c r="G512" s="18" t="n"/>
      <c r="H512" s="35">
        <f>IF($F512="","",$F512*$G512/100)</f>
        <v/>
      </c>
      <c r="I512" s="18" t="n"/>
      <c r="J512" s="35">
        <f>IF($F512="","",$H512*$I512/100)</f>
        <v/>
      </c>
      <c r="K512" s="18" t="n"/>
      <c r="L512" s="35">
        <f>IF($F512="","",$F512*$K512/100)</f>
        <v/>
      </c>
      <c r="M512" s="20">
        <f>IF($A512="","",ROUNDUP(MONTH($A512)/3,0))</f>
        <v/>
      </c>
    </row>
    <row r="513">
      <c r="A513" s="33" t="n"/>
      <c r="B513" s="16" t="n"/>
      <c r="C513" s="16" t="n"/>
      <c r="D513" s="16" t="n"/>
      <c r="E513" s="16" t="n"/>
      <c r="F513" s="34" t="n"/>
      <c r="G513" s="18" t="n"/>
      <c r="H513" s="35">
        <f>IF($F513="","",$F513*$G513/100)</f>
        <v/>
      </c>
      <c r="I513" s="18" t="n"/>
      <c r="J513" s="35">
        <f>IF($F513="","",$H513*$I513/100)</f>
        <v/>
      </c>
      <c r="K513" s="18" t="n"/>
      <c r="L513" s="35">
        <f>IF($F513="","",$F513*$K513/100)</f>
        <v/>
      </c>
      <c r="M513" s="20">
        <f>IF($A513="","",ROUNDUP(MONTH($A513)/3,0))</f>
        <v/>
      </c>
    </row>
    <row r="514">
      <c r="A514" s="33" t="n"/>
      <c r="B514" s="16" t="n"/>
      <c r="C514" s="16" t="n"/>
      <c r="D514" s="16" t="n"/>
      <c r="E514" s="16" t="n"/>
      <c r="F514" s="34" t="n"/>
      <c r="G514" s="18" t="n"/>
      <c r="H514" s="35">
        <f>IF($F514="","",$F514*$G514/100)</f>
        <v/>
      </c>
      <c r="I514" s="18" t="n"/>
      <c r="J514" s="35">
        <f>IF($F514="","",$H514*$I514/100)</f>
        <v/>
      </c>
      <c r="K514" s="18" t="n"/>
      <c r="L514" s="35">
        <f>IF($F514="","",$F514*$K514/100)</f>
        <v/>
      </c>
      <c r="M514" s="20">
        <f>IF($A514="","",ROUNDUP(MONTH($A514)/3,0))</f>
        <v/>
      </c>
    </row>
    <row r="515">
      <c r="A515" s="33" t="n"/>
      <c r="B515" s="16" t="n"/>
      <c r="C515" s="16" t="n"/>
      <c r="D515" s="16" t="n"/>
      <c r="E515" s="16" t="n"/>
      <c r="F515" s="34" t="n"/>
      <c r="G515" s="18" t="n"/>
      <c r="H515" s="35">
        <f>IF($F515="","",$F515*$G515/100)</f>
        <v/>
      </c>
      <c r="I515" s="18" t="n"/>
      <c r="J515" s="35">
        <f>IF($F515="","",$H515*$I515/100)</f>
        <v/>
      </c>
      <c r="K515" s="18" t="n"/>
      <c r="L515" s="35">
        <f>IF($F515="","",$F515*$K515/100)</f>
        <v/>
      </c>
      <c r="M515" s="20">
        <f>IF($A515="","",ROUNDUP(MONTH($A515)/3,0))</f>
        <v/>
      </c>
    </row>
    <row r="516">
      <c r="A516" s="33" t="n"/>
      <c r="B516" s="16" t="n"/>
      <c r="C516" s="16" t="n"/>
      <c r="D516" s="16" t="n"/>
      <c r="E516" s="16" t="n"/>
      <c r="F516" s="34" t="n"/>
      <c r="G516" s="18" t="n"/>
      <c r="H516" s="35">
        <f>IF($F516="","",$F516*$G516/100)</f>
        <v/>
      </c>
      <c r="I516" s="18" t="n"/>
      <c r="J516" s="35">
        <f>IF($F516="","",$H516*$I516/100)</f>
        <v/>
      </c>
      <c r="K516" s="18" t="n"/>
      <c r="L516" s="35">
        <f>IF($F516="","",$F516*$K516/100)</f>
        <v/>
      </c>
      <c r="M516" s="20">
        <f>IF($A516="","",ROUNDUP(MONTH($A516)/3,0))</f>
        <v/>
      </c>
    </row>
    <row r="517">
      <c r="A517" s="33" t="n"/>
      <c r="B517" s="16" t="n"/>
      <c r="C517" s="16" t="n"/>
      <c r="D517" s="16" t="n"/>
      <c r="E517" s="16" t="n"/>
      <c r="F517" s="34" t="n"/>
      <c r="G517" s="18" t="n"/>
      <c r="H517" s="35">
        <f>IF($F517="","",$F517*$G517/100)</f>
        <v/>
      </c>
      <c r="I517" s="18" t="n"/>
      <c r="J517" s="35">
        <f>IF($F517="","",$H517*$I517/100)</f>
        <v/>
      </c>
      <c r="K517" s="18" t="n"/>
      <c r="L517" s="35">
        <f>IF($F517="","",$F517*$K517/100)</f>
        <v/>
      </c>
      <c r="M517" s="20">
        <f>IF($A517="","",ROUNDUP(MONTH($A517)/3,0))</f>
        <v/>
      </c>
    </row>
    <row r="518">
      <c r="A518" s="33" t="n"/>
      <c r="B518" s="16" t="n"/>
      <c r="C518" s="16" t="n"/>
      <c r="D518" s="16" t="n"/>
      <c r="E518" s="16" t="n"/>
      <c r="F518" s="34" t="n"/>
      <c r="G518" s="18" t="n"/>
      <c r="H518" s="35">
        <f>IF($F518="","",$F518*$G518/100)</f>
        <v/>
      </c>
      <c r="I518" s="18" t="n"/>
      <c r="J518" s="35">
        <f>IF($F518="","",$H518*$I518/100)</f>
        <v/>
      </c>
      <c r="K518" s="18" t="n"/>
      <c r="L518" s="35">
        <f>IF($F518="","",$F518*$K518/100)</f>
        <v/>
      </c>
      <c r="M518" s="20">
        <f>IF($A518="","",ROUNDUP(MONTH($A518)/3,0))</f>
        <v/>
      </c>
    </row>
    <row r="519">
      <c r="A519" s="33" t="n"/>
      <c r="B519" s="16" t="n"/>
      <c r="C519" s="16" t="n"/>
      <c r="D519" s="16" t="n"/>
      <c r="E519" s="16" t="n"/>
      <c r="F519" s="34" t="n"/>
      <c r="G519" s="18" t="n"/>
      <c r="H519" s="35">
        <f>IF($F519="","",$F519*$G519/100)</f>
        <v/>
      </c>
      <c r="I519" s="18" t="n"/>
      <c r="J519" s="35">
        <f>IF($F519="","",$H519*$I519/100)</f>
        <v/>
      </c>
      <c r="K519" s="18" t="n"/>
      <c r="L519" s="35">
        <f>IF($F519="","",$F519*$K519/100)</f>
        <v/>
      </c>
      <c r="M519" s="20">
        <f>IF($A519="","",ROUNDUP(MONTH($A519)/3,0))</f>
        <v/>
      </c>
    </row>
    <row r="520">
      <c r="A520" s="33" t="n"/>
      <c r="B520" s="16" t="n"/>
      <c r="C520" s="16" t="n"/>
      <c r="D520" s="16" t="n"/>
      <c r="E520" s="16" t="n"/>
      <c r="F520" s="34" t="n"/>
      <c r="G520" s="18" t="n"/>
      <c r="H520" s="35">
        <f>IF($F520="","",$F520*$G520/100)</f>
        <v/>
      </c>
      <c r="I520" s="18" t="n"/>
      <c r="J520" s="35">
        <f>IF($F520="","",$H520*$I520/100)</f>
        <v/>
      </c>
      <c r="K520" s="18" t="n"/>
      <c r="L520" s="35">
        <f>IF($F520="","",$F520*$K520/100)</f>
        <v/>
      </c>
      <c r="M520" s="20">
        <f>IF($A520="","",ROUNDUP(MONTH($A520)/3,0))</f>
        <v/>
      </c>
    </row>
    <row r="521">
      <c r="A521" s="33" t="n"/>
      <c r="B521" s="16" t="n"/>
      <c r="C521" s="16" t="n"/>
      <c r="D521" s="16" t="n"/>
      <c r="E521" s="16" t="n"/>
      <c r="F521" s="34" t="n"/>
      <c r="G521" s="18" t="n"/>
      <c r="H521" s="35">
        <f>IF($F521="","",$F521*$G521/100)</f>
        <v/>
      </c>
      <c r="I521" s="18" t="n"/>
      <c r="J521" s="35">
        <f>IF($F521="","",$H521*$I521/100)</f>
        <v/>
      </c>
      <c r="K521" s="18" t="n"/>
      <c r="L521" s="35">
        <f>IF($F521="","",$F521*$K521/100)</f>
        <v/>
      </c>
      <c r="M521" s="20">
        <f>IF($A521="","",ROUNDUP(MONTH($A521)/3,0))</f>
        <v/>
      </c>
    </row>
    <row r="522">
      <c r="A522" s="33" t="n"/>
      <c r="B522" s="16" t="n"/>
      <c r="C522" s="16" t="n"/>
      <c r="D522" s="16" t="n"/>
      <c r="E522" s="16" t="n"/>
      <c r="F522" s="34" t="n"/>
      <c r="G522" s="18" t="n"/>
      <c r="H522" s="35">
        <f>IF($F522="","",$F522*$G522/100)</f>
        <v/>
      </c>
      <c r="I522" s="18" t="n"/>
      <c r="J522" s="35">
        <f>IF($F522="","",$H522*$I522/100)</f>
        <v/>
      </c>
      <c r="K522" s="18" t="n"/>
      <c r="L522" s="35">
        <f>IF($F522="","",$F522*$K522/100)</f>
        <v/>
      </c>
      <c r="M522" s="20">
        <f>IF($A522="","",ROUNDUP(MONTH($A522)/3,0))</f>
        <v/>
      </c>
    </row>
    <row r="523">
      <c r="A523" s="33" t="n"/>
      <c r="B523" s="16" t="n"/>
      <c r="C523" s="16" t="n"/>
      <c r="D523" s="16" t="n"/>
      <c r="E523" s="16" t="n"/>
      <c r="F523" s="34" t="n"/>
      <c r="G523" s="18" t="n"/>
      <c r="H523" s="35">
        <f>IF($F523="","",$F523*$G523/100)</f>
        <v/>
      </c>
      <c r="I523" s="18" t="n"/>
      <c r="J523" s="35">
        <f>IF($F523="","",$H523*$I523/100)</f>
        <v/>
      </c>
      <c r="K523" s="18" t="n"/>
      <c r="L523" s="35">
        <f>IF($F523="","",$F523*$K523/100)</f>
        <v/>
      </c>
      <c r="M523" s="20">
        <f>IF($A523="","",ROUNDUP(MONTH($A523)/3,0))</f>
        <v/>
      </c>
    </row>
    <row r="524">
      <c r="A524" s="33" t="n"/>
      <c r="B524" s="16" t="n"/>
      <c r="C524" s="16" t="n"/>
      <c r="D524" s="16" t="n"/>
      <c r="E524" s="16" t="n"/>
      <c r="F524" s="34" t="n"/>
      <c r="G524" s="18" t="n"/>
      <c r="H524" s="35">
        <f>IF($F524="","",$F524*$G524/100)</f>
        <v/>
      </c>
      <c r="I524" s="18" t="n"/>
      <c r="J524" s="35">
        <f>IF($F524="","",$H524*$I524/100)</f>
        <v/>
      </c>
      <c r="K524" s="18" t="n"/>
      <c r="L524" s="35">
        <f>IF($F524="","",$F524*$K524/100)</f>
        <v/>
      </c>
      <c r="M524" s="20">
        <f>IF($A524="","",ROUNDUP(MONTH($A524)/3,0))</f>
        <v/>
      </c>
    </row>
    <row r="525">
      <c r="A525" s="33" t="n"/>
      <c r="B525" s="16" t="n"/>
      <c r="C525" s="16" t="n"/>
      <c r="D525" s="16" t="n"/>
      <c r="E525" s="16" t="n"/>
      <c r="F525" s="34" t="n"/>
      <c r="G525" s="18" t="n"/>
      <c r="H525" s="35">
        <f>IF($F525="","",$F525*$G525/100)</f>
        <v/>
      </c>
      <c r="I525" s="18" t="n"/>
      <c r="J525" s="35">
        <f>IF($F525="","",$H525*$I525/100)</f>
        <v/>
      </c>
      <c r="K525" s="18" t="n"/>
      <c r="L525" s="35">
        <f>IF($F525="","",$F525*$K525/100)</f>
        <v/>
      </c>
      <c r="M525" s="20">
        <f>IF($A525="","",ROUNDUP(MONTH($A525)/3,0))</f>
        <v/>
      </c>
    </row>
    <row r="526">
      <c r="A526" s="33" t="n"/>
      <c r="B526" s="16" t="n"/>
      <c r="C526" s="16" t="n"/>
      <c r="D526" s="16" t="n"/>
      <c r="E526" s="16" t="n"/>
      <c r="F526" s="34" t="n"/>
      <c r="G526" s="18" t="n"/>
      <c r="H526" s="35">
        <f>IF($F526="","",$F526*$G526/100)</f>
        <v/>
      </c>
      <c r="I526" s="18" t="n"/>
      <c r="J526" s="35">
        <f>IF($F526="","",$H526*$I526/100)</f>
        <v/>
      </c>
      <c r="K526" s="18" t="n"/>
      <c r="L526" s="35">
        <f>IF($F526="","",$F526*$K526/100)</f>
        <v/>
      </c>
      <c r="M526" s="20">
        <f>IF($A526="","",ROUNDUP(MONTH($A526)/3,0))</f>
        <v/>
      </c>
    </row>
    <row r="527">
      <c r="A527" s="33" t="n"/>
      <c r="B527" s="16" t="n"/>
      <c r="C527" s="16" t="n"/>
      <c r="D527" s="16" t="n"/>
      <c r="E527" s="16" t="n"/>
      <c r="F527" s="34" t="n"/>
      <c r="G527" s="18" t="n"/>
      <c r="H527" s="35">
        <f>IF($F527="","",$F527*$G527/100)</f>
        <v/>
      </c>
      <c r="I527" s="18" t="n"/>
      <c r="J527" s="35">
        <f>IF($F527="","",$H527*$I527/100)</f>
        <v/>
      </c>
      <c r="K527" s="18" t="n"/>
      <c r="L527" s="35">
        <f>IF($F527="","",$F527*$K527/100)</f>
        <v/>
      </c>
      <c r="M527" s="20">
        <f>IF($A527="","",ROUNDUP(MONTH($A527)/3,0))</f>
        <v/>
      </c>
    </row>
    <row r="528">
      <c r="A528" s="33" t="n"/>
      <c r="B528" s="16" t="n"/>
      <c r="C528" s="16" t="n"/>
      <c r="D528" s="16" t="n"/>
      <c r="E528" s="16" t="n"/>
      <c r="F528" s="34" t="n"/>
      <c r="G528" s="18" t="n"/>
      <c r="H528" s="35">
        <f>IF($F528="","",$F528*$G528/100)</f>
        <v/>
      </c>
      <c r="I528" s="18" t="n"/>
      <c r="J528" s="35">
        <f>IF($F528="","",$H528*$I528/100)</f>
        <v/>
      </c>
      <c r="K528" s="18" t="n"/>
      <c r="L528" s="35">
        <f>IF($F528="","",$F528*$K528/100)</f>
        <v/>
      </c>
      <c r="M528" s="20">
        <f>IF($A528="","",ROUNDUP(MONTH($A528)/3,0))</f>
        <v/>
      </c>
    </row>
    <row r="529">
      <c r="A529" s="33" t="n"/>
      <c r="B529" s="16" t="n"/>
      <c r="C529" s="16" t="n"/>
      <c r="D529" s="16" t="n"/>
      <c r="E529" s="16" t="n"/>
      <c r="F529" s="34" t="n"/>
      <c r="G529" s="18" t="n"/>
      <c r="H529" s="35">
        <f>IF($F529="","",$F529*$G529/100)</f>
        <v/>
      </c>
      <c r="I529" s="18" t="n"/>
      <c r="J529" s="35">
        <f>IF($F529="","",$H529*$I529/100)</f>
        <v/>
      </c>
      <c r="K529" s="18" t="n"/>
      <c r="L529" s="35">
        <f>IF($F529="","",$F529*$K529/100)</f>
        <v/>
      </c>
      <c r="M529" s="20">
        <f>IF($A529="","",ROUNDUP(MONTH($A529)/3,0))</f>
        <v/>
      </c>
    </row>
    <row r="530">
      <c r="A530" s="33" t="n"/>
      <c r="B530" s="16" t="n"/>
      <c r="C530" s="16" t="n"/>
      <c r="D530" s="16" t="n"/>
      <c r="E530" s="16" t="n"/>
      <c r="F530" s="34" t="n"/>
      <c r="G530" s="18" t="n"/>
      <c r="H530" s="35">
        <f>IF($F530="","",$F530*$G530/100)</f>
        <v/>
      </c>
      <c r="I530" s="18" t="n"/>
      <c r="J530" s="35">
        <f>IF($F530="","",$H530*$I530/100)</f>
        <v/>
      </c>
      <c r="K530" s="18" t="n"/>
      <c r="L530" s="35">
        <f>IF($F530="","",$F530*$K530/100)</f>
        <v/>
      </c>
      <c r="M530" s="20">
        <f>IF($A530="","",ROUNDUP(MONTH($A530)/3,0))</f>
        <v/>
      </c>
    </row>
    <row r="531">
      <c r="A531" s="33" t="n"/>
      <c r="B531" s="16" t="n"/>
      <c r="C531" s="16" t="n"/>
      <c r="D531" s="16" t="n"/>
      <c r="E531" s="16" t="n"/>
      <c r="F531" s="34" t="n"/>
      <c r="G531" s="18" t="n"/>
      <c r="H531" s="35">
        <f>IF($F531="","",$F531*$G531/100)</f>
        <v/>
      </c>
      <c r="I531" s="18" t="n"/>
      <c r="J531" s="35">
        <f>IF($F531="","",$H531*$I531/100)</f>
        <v/>
      </c>
      <c r="K531" s="18" t="n"/>
      <c r="L531" s="35">
        <f>IF($F531="","",$F531*$K531/100)</f>
        <v/>
      </c>
      <c r="M531" s="20">
        <f>IF($A531="","",ROUNDUP(MONTH($A531)/3,0))</f>
        <v/>
      </c>
    </row>
    <row r="532">
      <c r="A532" s="33" t="n"/>
      <c r="B532" s="16" t="n"/>
      <c r="C532" s="16" t="n"/>
      <c r="D532" s="16" t="n"/>
      <c r="E532" s="16" t="n"/>
      <c r="F532" s="34" t="n"/>
      <c r="G532" s="18" t="n"/>
      <c r="H532" s="35">
        <f>IF($F532="","",$F532*$G532/100)</f>
        <v/>
      </c>
      <c r="I532" s="18" t="n"/>
      <c r="J532" s="35">
        <f>IF($F532="","",$H532*$I532/100)</f>
        <v/>
      </c>
      <c r="K532" s="18" t="n"/>
      <c r="L532" s="35">
        <f>IF($F532="","",$F532*$K532/100)</f>
        <v/>
      </c>
      <c r="M532" s="20">
        <f>IF($A532="","",ROUNDUP(MONTH($A532)/3,0))</f>
        <v/>
      </c>
    </row>
    <row r="533">
      <c r="A533" s="33" t="n"/>
      <c r="B533" s="16" t="n"/>
      <c r="C533" s="16" t="n"/>
      <c r="D533" s="16" t="n"/>
      <c r="E533" s="16" t="n"/>
      <c r="F533" s="34" t="n"/>
      <c r="G533" s="18" t="n"/>
      <c r="H533" s="35">
        <f>IF($F533="","",$F533*$G533/100)</f>
        <v/>
      </c>
      <c r="I533" s="18" t="n"/>
      <c r="J533" s="35">
        <f>IF($F533="","",$H533*$I533/100)</f>
        <v/>
      </c>
      <c r="K533" s="18" t="n"/>
      <c r="L533" s="35">
        <f>IF($F533="","",$F533*$K533/100)</f>
        <v/>
      </c>
      <c r="M533" s="20">
        <f>IF($A533="","",ROUNDUP(MONTH($A533)/3,0))</f>
        <v/>
      </c>
    </row>
    <row r="534">
      <c r="A534" s="33" t="n"/>
      <c r="B534" s="16" t="n"/>
      <c r="C534" s="16" t="n"/>
      <c r="D534" s="16" t="n"/>
      <c r="E534" s="16" t="n"/>
      <c r="F534" s="34" t="n"/>
      <c r="G534" s="18" t="n"/>
      <c r="H534" s="35">
        <f>IF($F534="","",$F534*$G534/100)</f>
        <v/>
      </c>
      <c r="I534" s="18" t="n"/>
      <c r="J534" s="35">
        <f>IF($F534="","",$H534*$I534/100)</f>
        <v/>
      </c>
      <c r="K534" s="18" t="n"/>
      <c r="L534" s="35">
        <f>IF($F534="","",$F534*$K534/100)</f>
        <v/>
      </c>
      <c r="M534" s="20">
        <f>IF($A534="","",ROUNDUP(MONTH($A534)/3,0))</f>
        <v/>
      </c>
    </row>
    <row r="535">
      <c r="A535" s="33" t="n"/>
      <c r="B535" s="16" t="n"/>
      <c r="C535" s="16" t="n"/>
      <c r="D535" s="16" t="n"/>
      <c r="E535" s="16" t="n"/>
      <c r="F535" s="34" t="n"/>
      <c r="G535" s="18" t="n"/>
      <c r="H535" s="35">
        <f>IF($F535="","",$F535*$G535/100)</f>
        <v/>
      </c>
      <c r="I535" s="18" t="n"/>
      <c r="J535" s="35">
        <f>IF($F535="","",$H535*$I535/100)</f>
        <v/>
      </c>
      <c r="K535" s="18" t="n"/>
      <c r="L535" s="35">
        <f>IF($F535="","",$F535*$K535/100)</f>
        <v/>
      </c>
      <c r="M535" s="20">
        <f>IF($A535="","",ROUNDUP(MONTH($A535)/3,0))</f>
        <v/>
      </c>
    </row>
    <row r="536">
      <c r="A536" s="33" t="n"/>
      <c r="B536" s="16" t="n"/>
      <c r="C536" s="16" t="n"/>
      <c r="D536" s="16" t="n"/>
      <c r="E536" s="16" t="n"/>
      <c r="F536" s="34" t="n"/>
      <c r="G536" s="18" t="n"/>
      <c r="H536" s="35">
        <f>IF($F536="","",$F536*$G536/100)</f>
        <v/>
      </c>
      <c r="I536" s="18" t="n"/>
      <c r="J536" s="35">
        <f>IF($F536="","",$H536*$I536/100)</f>
        <v/>
      </c>
      <c r="K536" s="18" t="n"/>
      <c r="L536" s="35">
        <f>IF($F536="","",$F536*$K536/100)</f>
        <v/>
      </c>
      <c r="M536" s="20">
        <f>IF($A536="","",ROUNDUP(MONTH($A536)/3,0))</f>
        <v/>
      </c>
    </row>
    <row r="537">
      <c r="A537" s="33" t="n"/>
      <c r="B537" s="16" t="n"/>
      <c r="C537" s="16" t="n"/>
      <c r="D537" s="16" t="n"/>
      <c r="E537" s="16" t="n"/>
      <c r="F537" s="34" t="n"/>
      <c r="G537" s="18" t="n"/>
      <c r="H537" s="35">
        <f>IF($F537="","",$F537*$G537/100)</f>
        <v/>
      </c>
      <c r="I537" s="18" t="n"/>
      <c r="J537" s="35">
        <f>IF($F537="","",$H537*$I537/100)</f>
        <v/>
      </c>
      <c r="K537" s="18" t="n"/>
      <c r="L537" s="35">
        <f>IF($F537="","",$F537*$K537/100)</f>
        <v/>
      </c>
      <c r="M537" s="20">
        <f>IF($A537="","",ROUNDUP(MONTH($A537)/3,0))</f>
        <v/>
      </c>
    </row>
    <row r="538">
      <c r="A538" s="33" t="n"/>
      <c r="B538" s="16" t="n"/>
      <c r="C538" s="16" t="n"/>
      <c r="D538" s="16" t="n"/>
      <c r="E538" s="16" t="n"/>
      <c r="F538" s="34" t="n"/>
      <c r="G538" s="18" t="n"/>
      <c r="H538" s="35">
        <f>IF($F538="","",$F538*$G538/100)</f>
        <v/>
      </c>
      <c r="I538" s="18" t="n"/>
      <c r="J538" s="35">
        <f>IF($F538="","",$H538*$I538/100)</f>
        <v/>
      </c>
      <c r="K538" s="18" t="n"/>
      <c r="L538" s="35">
        <f>IF($F538="","",$F538*$K538/100)</f>
        <v/>
      </c>
      <c r="M538" s="20">
        <f>IF($A538="","",ROUNDUP(MONTH($A538)/3,0))</f>
        <v/>
      </c>
    </row>
    <row r="539">
      <c r="A539" s="33" t="n"/>
      <c r="B539" s="16" t="n"/>
      <c r="C539" s="16" t="n"/>
      <c r="D539" s="16" t="n"/>
      <c r="E539" s="16" t="n"/>
      <c r="F539" s="34" t="n"/>
      <c r="G539" s="18" t="n"/>
      <c r="H539" s="35">
        <f>IF($F539="","",$F539*$G539/100)</f>
        <v/>
      </c>
      <c r="I539" s="18" t="n"/>
      <c r="J539" s="35">
        <f>IF($F539="","",$H539*$I539/100)</f>
        <v/>
      </c>
      <c r="K539" s="18" t="n"/>
      <c r="L539" s="35">
        <f>IF($F539="","",$F539*$K539/100)</f>
        <v/>
      </c>
      <c r="M539" s="20">
        <f>IF($A539="","",ROUNDUP(MONTH($A539)/3,0))</f>
        <v/>
      </c>
    </row>
    <row r="540">
      <c r="A540" s="33" t="n"/>
      <c r="B540" s="16" t="n"/>
      <c r="C540" s="16" t="n"/>
      <c r="D540" s="16" t="n"/>
      <c r="E540" s="16" t="n"/>
      <c r="F540" s="34" t="n"/>
      <c r="G540" s="18" t="n"/>
      <c r="H540" s="35">
        <f>IF($F540="","",$F540*$G540/100)</f>
        <v/>
      </c>
      <c r="I540" s="18" t="n"/>
      <c r="J540" s="35">
        <f>IF($F540="","",$H540*$I540/100)</f>
        <v/>
      </c>
      <c r="K540" s="18" t="n"/>
      <c r="L540" s="35">
        <f>IF($F540="","",$F540*$K540/100)</f>
        <v/>
      </c>
      <c r="M540" s="20">
        <f>IF($A540="","",ROUNDUP(MONTH($A540)/3,0))</f>
        <v/>
      </c>
    </row>
    <row r="541">
      <c r="A541" s="33" t="n"/>
      <c r="B541" s="16" t="n"/>
      <c r="C541" s="16" t="n"/>
      <c r="D541" s="16" t="n"/>
      <c r="E541" s="16" t="n"/>
      <c r="F541" s="34" t="n"/>
      <c r="G541" s="18" t="n"/>
      <c r="H541" s="35">
        <f>IF($F541="","",$F541*$G541/100)</f>
        <v/>
      </c>
      <c r="I541" s="18" t="n"/>
      <c r="J541" s="35">
        <f>IF($F541="","",$H541*$I541/100)</f>
        <v/>
      </c>
      <c r="K541" s="18" t="n"/>
      <c r="L541" s="35">
        <f>IF($F541="","",$F541*$K541/100)</f>
        <v/>
      </c>
      <c r="M541" s="20">
        <f>IF($A541="","",ROUNDUP(MONTH($A541)/3,0))</f>
        <v/>
      </c>
    </row>
    <row r="542">
      <c r="A542" s="33" t="n"/>
      <c r="B542" s="16" t="n"/>
      <c r="C542" s="16" t="n"/>
      <c r="D542" s="16" t="n"/>
      <c r="E542" s="16" t="n"/>
      <c r="F542" s="34" t="n"/>
      <c r="G542" s="18" t="n"/>
      <c r="H542" s="35">
        <f>IF($F542="","",$F542*$G542/100)</f>
        <v/>
      </c>
      <c r="I542" s="18" t="n"/>
      <c r="J542" s="35">
        <f>IF($F542="","",$H542*$I542/100)</f>
        <v/>
      </c>
      <c r="K542" s="18" t="n"/>
      <c r="L542" s="35">
        <f>IF($F542="","",$F542*$K542/100)</f>
        <v/>
      </c>
      <c r="M542" s="20">
        <f>IF($A542="","",ROUNDUP(MONTH($A542)/3,0))</f>
        <v/>
      </c>
    </row>
    <row r="543">
      <c r="A543" s="33" t="n"/>
      <c r="B543" s="16" t="n"/>
      <c r="C543" s="16" t="n"/>
      <c r="D543" s="16" t="n"/>
      <c r="E543" s="16" t="n"/>
      <c r="F543" s="34" t="n"/>
      <c r="G543" s="18" t="n"/>
      <c r="H543" s="35">
        <f>IF($F543="","",$F543*$G543/100)</f>
        <v/>
      </c>
      <c r="I543" s="18" t="n"/>
      <c r="J543" s="35">
        <f>IF($F543="","",$H543*$I543/100)</f>
        <v/>
      </c>
      <c r="K543" s="18" t="n"/>
      <c r="L543" s="35">
        <f>IF($F543="","",$F543*$K543/100)</f>
        <v/>
      </c>
      <c r="M543" s="20">
        <f>IF($A543="","",ROUNDUP(MONTH($A543)/3,0))</f>
        <v/>
      </c>
    </row>
    <row r="544">
      <c r="A544" s="33" t="n"/>
      <c r="B544" s="16" t="n"/>
      <c r="C544" s="16" t="n"/>
      <c r="D544" s="16" t="n"/>
      <c r="E544" s="16" t="n"/>
      <c r="F544" s="34" t="n"/>
      <c r="G544" s="18" t="n"/>
      <c r="H544" s="35">
        <f>IF($F544="","",$F544*$G544/100)</f>
        <v/>
      </c>
      <c r="I544" s="18" t="n"/>
      <c r="J544" s="35">
        <f>IF($F544="","",$H544*$I544/100)</f>
        <v/>
      </c>
      <c r="K544" s="18" t="n"/>
      <c r="L544" s="35">
        <f>IF($F544="","",$F544*$K544/100)</f>
        <v/>
      </c>
      <c r="M544" s="20">
        <f>IF($A544="","",ROUNDUP(MONTH($A544)/3,0))</f>
        <v/>
      </c>
    </row>
    <row r="545">
      <c r="A545" s="33" t="n"/>
      <c r="B545" s="16" t="n"/>
      <c r="C545" s="16" t="n"/>
      <c r="D545" s="16" t="n"/>
      <c r="E545" s="16" t="n"/>
      <c r="F545" s="34" t="n"/>
      <c r="G545" s="18" t="n"/>
      <c r="H545" s="35">
        <f>IF($F545="","",$F545*$G545/100)</f>
        <v/>
      </c>
      <c r="I545" s="18" t="n"/>
      <c r="J545" s="35">
        <f>IF($F545="","",$H545*$I545/100)</f>
        <v/>
      </c>
      <c r="K545" s="18" t="n"/>
      <c r="L545" s="35">
        <f>IF($F545="","",$F545*$K545/100)</f>
        <v/>
      </c>
      <c r="M545" s="20">
        <f>IF($A545="","",ROUNDUP(MONTH($A545)/3,0))</f>
        <v/>
      </c>
    </row>
    <row r="546">
      <c r="A546" s="33" t="n"/>
      <c r="B546" s="16" t="n"/>
      <c r="C546" s="16" t="n"/>
      <c r="D546" s="16" t="n"/>
      <c r="E546" s="16" t="n"/>
      <c r="F546" s="34" t="n"/>
      <c r="G546" s="18" t="n"/>
      <c r="H546" s="35">
        <f>IF($F546="","",$F546*$G546/100)</f>
        <v/>
      </c>
      <c r="I546" s="18" t="n"/>
      <c r="J546" s="35">
        <f>IF($F546="","",$H546*$I546/100)</f>
        <v/>
      </c>
      <c r="K546" s="18" t="n"/>
      <c r="L546" s="35">
        <f>IF($F546="","",$F546*$K546/100)</f>
        <v/>
      </c>
      <c r="M546" s="20">
        <f>IF($A546="","",ROUNDUP(MONTH($A546)/3,0))</f>
        <v/>
      </c>
    </row>
    <row r="547">
      <c r="A547" s="33" t="n"/>
      <c r="B547" s="16" t="n"/>
      <c r="C547" s="16" t="n"/>
      <c r="D547" s="16" t="n"/>
      <c r="E547" s="16" t="n"/>
      <c r="F547" s="34" t="n"/>
      <c r="G547" s="18" t="n"/>
      <c r="H547" s="35">
        <f>IF($F547="","",$F547*$G547/100)</f>
        <v/>
      </c>
      <c r="I547" s="18" t="n"/>
      <c r="J547" s="35">
        <f>IF($F547="","",$H547*$I547/100)</f>
        <v/>
      </c>
      <c r="K547" s="18" t="n"/>
      <c r="L547" s="35">
        <f>IF($F547="","",$F547*$K547/100)</f>
        <v/>
      </c>
      <c r="M547" s="20">
        <f>IF($A547="","",ROUNDUP(MONTH($A547)/3,0))</f>
        <v/>
      </c>
    </row>
    <row r="548">
      <c r="A548" s="33" t="n"/>
      <c r="B548" s="16" t="n"/>
      <c r="C548" s="16" t="n"/>
      <c r="D548" s="16" t="n"/>
      <c r="E548" s="16" t="n"/>
      <c r="F548" s="34" t="n"/>
      <c r="G548" s="18" t="n"/>
      <c r="H548" s="35">
        <f>IF($F548="","",$F548*$G548/100)</f>
        <v/>
      </c>
      <c r="I548" s="18" t="n"/>
      <c r="J548" s="35">
        <f>IF($F548="","",$H548*$I548/100)</f>
        <v/>
      </c>
      <c r="K548" s="18" t="n"/>
      <c r="L548" s="35">
        <f>IF($F548="","",$F548*$K548/100)</f>
        <v/>
      </c>
      <c r="M548" s="20">
        <f>IF($A548="","",ROUNDUP(MONTH($A548)/3,0))</f>
        <v/>
      </c>
    </row>
    <row r="549">
      <c r="A549" s="33" t="n"/>
      <c r="B549" s="16" t="n"/>
      <c r="C549" s="16" t="n"/>
      <c r="D549" s="16" t="n"/>
      <c r="E549" s="16" t="n"/>
      <c r="F549" s="34" t="n"/>
      <c r="G549" s="18" t="n"/>
      <c r="H549" s="35">
        <f>IF($F549="","",$F549*$G549/100)</f>
        <v/>
      </c>
      <c r="I549" s="18" t="n"/>
      <c r="J549" s="35">
        <f>IF($F549="","",$H549*$I549/100)</f>
        <v/>
      </c>
      <c r="K549" s="18" t="n"/>
      <c r="L549" s="35">
        <f>IF($F549="","",$F549*$K549/100)</f>
        <v/>
      </c>
      <c r="M549" s="20">
        <f>IF($A549="","",ROUNDUP(MONTH($A549)/3,0))</f>
        <v/>
      </c>
    </row>
    <row r="550">
      <c r="A550" s="33" t="n"/>
      <c r="B550" s="16" t="n"/>
      <c r="C550" s="16" t="n"/>
      <c r="D550" s="16" t="n"/>
      <c r="E550" s="16" t="n"/>
      <c r="F550" s="34" t="n"/>
      <c r="G550" s="18" t="n"/>
      <c r="H550" s="35">
        <f>IF($F550="","",$F550*$G550/100)</f>
        <v/>
      </c>
      <c r="I550" s="18" t="n"/>
      <c r="J550" s="35">
        <f>IF($F550="","",$H550*$I550/100)</f>
        <v/>
      </c>
      <c r="K550" s="18" t="n"/>
      <c r="L550" s="35">
        <f>IF($F550="","",$F550*$K550/100)</f>
        <v/>
      </c>
      <c r="M550" s="20">
        <f>IF($A550="","",ROUNDUP(MONTH($A550)/3,0))</f>
        <v/>
      </c>
    </row>
    <row r="551">
      <c r="A551" s="33" t="n"/>
      <c r="B551" s="16" t="n"/>
      <c r="C551" s="16" t="n"/>
      <c r="D551" s="16" t="n"/>
      <c r="E551" s="16" t="n"/>
      <c r="F551" s="34" t="n"/>
      <c r="G551" s="18" t="n"/>
      <c r="H551" s="35">
        <f>IF($F551="","",$F551*$G551/100)</f>
        <v/>
      </c>
      <c r="I551" s="18" t="n"/>
      <c r="J551" s="35">
        <f>IF($F551="","",$H551*$I551/100)</f>
        <v/>
      </c>
      <c r="K551" s="18" t="n"/>
      <c r="L551" s="35">
        <f>IF($F551="","",$F551*$K551/100)</f>
        <v/>
      </c>
      <c r="M551" s="20">
        <f>IF($A551="","",ROUNDUP(MONTH($A551)/3,0))</f>
        <v/>
      </c>
    </row>
    <row r="552">
      <c r="A552" s="33" t="n"/>
      <c r="B552" s="16" t="n"/>
      <c r="C552" s="16" t="n"/>
      <c r="D552" s="16" t="n"/>
      <c r="E552" s="16" t="n"/>
      <c r="F552" s="34" t="n"/>
      <c r="G552" s="18" t="n"/>
      <c r="H552" s="35">
        <f>IF($F552="","",$F552*$G552/100)</f>
        <v/>
      </c>
      <c r="I552" s="18" t="n"/>
      <c r="J552" s="35">
        <f>IF($F552="","",$H552*$I552/100)</f>
        <v/>
      </c>
      <c r="K552" s="18" t="n"/>
      <c r="L552" s="35">
        <f>IF($F552="","",$F552*$K552/100)</f>
        <v/>
      </c>
      <c r="M552" s="20">
        <f>IF($A552="","",ROUNDUP(MONTH($A552)/3,0))</f>
        <v/>
      </c>
    </row>
    <row r="553">
      <c r="A553" s="33" t="n"/>
      <c r="B553" s="16" t="n"/>
      <c r="C553" s="16" t="n"/>
      <c r="D553" s="16" t="n"/>
      <c r="E553" s="16" t="n"/>
      <c r="F553" s="34" t="n"/>
      <c r="G553" s="18" t="n"/>
      <c r="H553" s="35">
        <f>IF($F553="","",$F553*$G553/100)</f>
        <v/>
      </c>
      <c r="I553" s="18" t="n"/>
      <c r="J553" s="35">
        <f>IF($F553="","",$H553*$I553/100)</f>
        <v/>
      </c>
      <c r="K553" s="18" t="n"/>
      <c r="L553" s="35">
        <f>IF($F553="","",$F553*$K553/100)</f>
        <v/>
      </c>
      <c r="M553" s="20">
        <f>IF($A553="","",ROUNDUP(MONTH($A553)/3,0))</f>
        <v/>
      </c>
    </row>
    <row r="554">
      <c r="A554" s="33" t="n"/>
      <c r="B554" s="16" t="n"/>
      <c r="C554" s="16" t="n"/>
      <c r="D554" s="16" t="n"/>
      <c r="E554" s="16" t="n"/>
      <c r="F554" s="34" t="n"/>
      <c r="G554" s="18" t="n"/>
      <c r="H554" s="35">
        <f>IF($F554="","",$F554*$G554/100)</f>
        <v/>
      </c>
      <c r="I554" s="18" t="n"/>
      <c r="J554" s="35">
        <f>IF($F554="","",$H554*$I554/100)</f>
        <v/>
      </c>
      <c r="K554" s="18" t="n"/>
      <c r="L554" s="35">
        <f>IF($F554="","",$F554*$K554/100)</f>
        <v/>
      </c>
      <c r="M554" s="20">
        <f>IF($A554="","",ROUNDUP(MONTH($A554)/3,0))</f>
        <v/>
      </c>
    </row>
    <row r="555">
      <c r="A555" s="33" t="n"/>
      <c r="B555" s="16" t="n"/>
      <c r="C555" s="16" t="n"/>
      <c r="D555" s="16" t="n"/>
      <c r="E555" s="16" t="n"/>
      <c r="F555" s="34" t="n"/>
      <c r="G555" s="18" t="n"/>
      <c r="H555" s="35">
        <f>IF($F555="","",$F555*$G555/100)</f>
        <v/>
      </c>
      <c r="I555" s="18" t="n"/>
      <c r="J555" s="35">
        <f>IF($F555="","",$H555*$I555/100)</f>
        <v/>
      </c>
      <c r="K555" s="18" t="n"/>
      <c r="L555" s="35">
        <f>IF($F555="","",$F555*$K555/100)</f>
        <v/>
      </c>
      <c r="M555" s="20">
        <f>IF($A555="","",ROUNDUP(MONTH($A555)/3,0))</f>
        <v/>
      </c>
    </row>
    <row r="556">
      <c r="A556" s="33" t="n"/>
      <c r="B556" s="16" t="n"/>
      <c r="C556" s="16" t="n"/>
      <c r="D556" s="16" t="n"/>
      <c r="E556" s="16" t="n"/>
      <c r="F556" s="34" t="n"/>
      <c r="G556" s="18" t="n"/>
      <c r="H556" s="35">
        <f>IF($F556="","",$F556*$G556/100)</f>
        <v/>
      </c>
      <c r="I556" s="18" t="n"/>
      <c r="J556" s="35">
        <f>IF($F556="","",$H556*$I556/100)</f>
        <v/>
      </c>
      <c r="K556" s="18" t="n"/>
      <c r="L556" s="35">
        <f>IF($F556="","",$F556*$K556/100)</f>
        <v/>
      </c>
      <c r="M556" s="20">
        <f>IF($A556="","",ROUNDUP(MONTH($A556)/3,0))</f>
        <v/>
      </c>
    </row>
    <row r="557">
      <c r="A557" s="33" t="n"/>
      <c r="B557" s="16" t="n"/>
      <c r="C557" s="16" t="n"/>
      <c r="D557" s="16" t="n"/>
      <c r="E557" s="16" t="n"/>
      <c r="F557" s="34" t="n"/>
      <c r="G557" s="18" t="n"/>
      <c r="H557" s="35">
        <f>IF($F557="","",$F557*$G557/100)</f>
        <v/>
      </c>
      <c r="I557" s="18" t="n"/>
      <c r="J557" s="35">
        <f>IF($F557="","",$H557*$I557/100)</f>
        <v/>
      </c>
      <c r="K557" s="18" t="n"/>
      <c r="L557" s="35">
        <f>IF($F557="","",$F557*$K557/100)</f>
        <v/>
      </c>
      <c r="M557" s="20">
        <f>IF($A557="","",ROUNDUP(MONTH($A557)/3,0))</f>
        <v/>
      </c>
    </row>
    <row r="558">
      <c r="A558" s="33" t="n"/>
      <c r="B558" s="16" t="n"/>
      <c r="C558" s="16" t="n"/>
      <c r="D558" s="16" t="n"/>
      <c r="E558" s="16" t="n"/>
      <c r="F558" s="34" t="n"/>
      <c r="G558" s="18" t="n"/>
      <c r="H558" s="35">
        <f>IF($F558="","",$F558*$G558/100)</f>
        <v/>
      </c>
      <c r="I558" s="18" t="n"/>
      <c r="J558" s="35">
        <f>IF($F558="","",$H558*$I558/100)</f>
        <v/>
      </c>
      <c r="K558" s="18" t="n"/>
      <c r="L558" s="35">
        <f>IF($F558="","",$F558*$K558/100)</f>
        <v/>
      </c>
      <c r="M558" s="20">
        <f>IF($A558="","",ROUNDUP(MONTH($A558)/3,0))</f>
        <v/>
      </c>
    </row>
    <row r="559">
      <c r="A559" s="33" t="n"/>
      <c r="B559" s="16" t="n"/>
      <c r="C559" s="16" t="n"/>
      <c r="D559" s="16" t="n"/>
      <c r="E559" s="16" t="n"/>
      <c r="F559" s="34" t="n"/>
      <c r="G559" s="18" t="n"/>
      <c r="H559" s="35">
        <f>IF($F559="","",$F559*$G559/100)</f>
        <v/>
      </c>
      <c r="I559" s="18" t="n"/>
      <c r="J559" s="35">
        <f>IF($F559="","",$H559*$I559/100)</f>
        <v/>
      </c>
      <c r="K559" s="18" t="n"/>
      <c r="L559" s="35">
        <f>IF($F559="","",$F559*$K559/100)</f>
        <v/>
      </c>
      <c r="M559" s="20">
        <f>IF($A559="","",ROUNDUP(MONTH($A559)/3,0))</f>
        <v/>
      </c>
    </row>
    <row r="560">
      <c r="A560" s="33" t="n"/>
      <c r="B560" s="16" t="n"/>
      <c r="C560" s="16" t="n"/>
      <c r="D560" s="16" t="n"/>
      <c r="E560" s="16" t="n"/>
      <c r="F560" s="34" t="n"/>
      <c r="G560" s="18" t="n"/>
      <c r="H560" s="35">
        <f>IF($F560="","",$F560*$G560/100)</f>
        <v/>
      </c>
      <c r="I560" s="18" t="n"/>
      <c r="J560" s="35">
        <f>IF($F560="","",$H560*$I560/100)</f>
        <v/>
      </c>
      <c r="K560" s="18" t="n"/>
      <c r="L560" s="35">
        <f>IF($F560="","",$F560*$K560/100)</f>
        <v/>
      </c>
      <c r="M560" s="20">
        <f>IF($A560="","",ROUNDUP(MONTH($A560)/3,0))</f>
        <v/>
      </c>
    </row>
    <row r="561">
      <c r="A561" s="33" t="n"/>
      <c r="B561" s="16" t="n"/>
      <c r="C561" s="16" t="n"/>
      <c r="D561" s="16" t="n"/>
      <c r="E561" s="16" t="n"/>
      <c r="F561" s="34" t="n"/>
      <c r="G561" s="18" t="n"/>
      <c r="H561" s="35">
        <f>IF($F561="","",$F561*$G561/100)</f>
        <v/>
      </c>
      <c r="I561" s="18" t="n"/>
      <c r="J561" s="35">
        <f>IF($F561="","",$H561*$I561/100)</f>
        <v/>
      </c>
      <c r="K561" s="18" t="n"/>
      <c r="L561" s="35">
        <f>IF($F561="","",$F561*$K561/100)</f>
        <v/>
      </c>
      <c r="M561" s="20">
        <f>IF($A561="","",ROUNDUP(MONTH($A561)/3,0))</f>
        <v/>
      </c>
    </row>
    <row r="562">
      <c r="A562" s="33" t="n"/>
      <c r="B562" s="16" t="n"/>
      <c r="C562" s="16" t="n"/>
      <c r="D562" s="16" t="n"/>
      <c r="E562" s="16" t="n"/>
      <c r="F562" s="34" t="n"/>
      <c r="G562" s="18" t="n"/>
      <c r="H562" s="35">
        <f>IF($F562="","",$F562*$G562/100)</f>
        <v/>
      </c>
      <c r="I562" s="18" t="n"/>
      <c r="J562" s="35">
        <f>IF($F562="","",$H562*$I562/100)</f>
        <v/>
      </c>
      <c r="K562" s="18" t="n"/>
      <c r="L562" s="35">
        <f>IF($F562="","",$F562*$K562/100)</f>
        <v/>
      </c>
      <c r="M562" s="20">
        <f>IF($A562="","",ROUNDUP(MONTH($A562)/3,0))</f>
        <v/>
      </c>
    </row>
    <row r="563">
      <c r="A563" s="33" t="n"/>
      <c r="B563" s="16" t="n"/>
      <c r="C563" s="16" t="n"/>
      <c r="D563" s="16" t="n"/>
      <c r="E563" s="16" t="n"/>
      <c r="F563" s="34" t="n"/>
      <c r="G563" s="18" t="n"/>
      <c r="H563" s="35">
        <f>IF($F563="","",$F563*$G563/100)</f>
        <v/>
      </c>
      <c r="I563" s="18" t="n"/>
      <c r="J563" s="35">
        <f>IF($F563="","",$H563*$I563/100)</f>
        <v/>
      </c>
      <c r="K563" s="18" t="n"/>
      <c r="L563" s="35">
        <f>IF($F563="","",$F563*$K563/100)</f>
        <v/>
      </c>
      <c r="M563" s="20">
        <f>IF($A563="","",ROUNDUP(MONTH($A563)/3,0))</f>
        <v/>
      </c>
    </row>
    <row r="564">
      <c r="A564" s="33" t="n"/>
      <c r="B564" s="16" t="n"/>
      <c r="C564" s="16" t="n"/>
      <c r="D564" s="16" t="n"/>
      <c r="E564" s="16" t="n"/>
      <c r="F564" s="34" t="n"/>
      <c r="G564" s="18" t="n"/>
      <c r="H564" s="35">
        <f>IF($F564="","",$F564*$G564/100)</f>
        <v/>
      </c>
      <c r="I564" s="18" t="n"/>
      <c r="J564" s="35">
        <f>IF($F564="","",$H564*$I564/100)</f>
        <v/>
      </c>
      <c r="K564" s="18" t="n"/>
      <c r="L564" s="35">
        <f>IF($F564="","",$F564*$K564/100)</f>
        <v/>
      </c>
      <c r="M564" s="20">
        <f>IF($A564="","",ROUNDUP(MONTH($A564)/3,0))</f>
        <v/>
      </c>
    </row>
    <row r="565">
      <c r="A565" s="33" t="n"/>
      <c r="B565" s="16" t="n"/>
      <c r="C565" s="16" t="n"/>
      <c r="D565" s="16" t="n"/>
      <c r="E565" s="16" t="n"/>
      <c r="F565" s="34" t="n"/>
      <c r="G565" s="18" t="n"/>
      <c r="H565" s="35">
        <f>IF($F565="","",$F565*$G565/100)</f>
        <v/>
      </c>
      <c r="I565" s="18" t="n"/>
      <c r="J565" s="35">
        <f>IF($F565="","",$H565*$I565/100)</f>
        <v/>
      </c>
      <c r="K565" s="18" t="n"/>
      <c r="L565" s="35">
        <f>IF($F565="","",$F565*$K565/100)</f>
        <v/>
      </c>
      <c r="M565" s="20">
        <f>IF($A565="","",ROUNDUP(MONTH($A565)/3,0))</f>
        <v/>
      </c>
    </row>
    <row r="566">
      <c r="A566" s="33" t="n"/>
      <c r="B566" s="16" t="n"/>
      <c r="C566" s="16" t="n"/>
      <c r="D566" s="16" t="n"/>
      <c r="E566" s="16" t="n"/>
      <c r="F566" s="34" t="n"/>
      <c r="G566" s="18" t="n"/>
      <c r="H566" s="35">
        <f>IF($F566="","",$F566*$G566/100)</f>
        <v/>
      </c>
      <c r="I566" s="18" t="n"/>
      <c r="J566" s="35">
        <f>IF($F566="","",$H566*$I566/100)</f>
        <v/>
      </c>
      <c r="K566" s="18" t="n"/>
      <c r="L566" s="35">
        <f>IF($F566="","",$F566*$K566/100)</f>
        <v/>
      </c>
      <c r="M566" s="20">
        <f>IF($A566="","",ROUNDUP(MONTH($A566)/3,0))</f>
        <v/>
      </c>
    </row>
    <row r="567">
      <c r="A567" s="33" t="n"/>
      <c r="B567" s="16" t="n"/>
      <c r="C567" s="16" t="n"/>
      <c r="D567" s="16" t="n"/>
      <c r="E567" s="16" t="n"/>
      <c r="F567" s="34" t="n"/>
      <c r="G567" s="18" t="n"/>
      <c r="H567" s="35">
        <f>IF($F567="","",$F567*$G567/100)</f>
        <v/>
      </c>
      <c r="I567" s="18" t="n"/>
      <c r="J567" s="35">
        <f>IF($F567="","",$H567*$I567/100)</f>
        <v/>
      </c>
      <c r="K567" s="18" t="n"/>
      <c r="L567" s="35">
        <f>IF($F567="","",$F567*$K567/100)</f>
        <v/>
      </c>
      <c r="M567" s="20">
        <f>IF($A567="","",ROUNDUP(MONTH($A567)/3,0))</f>
        <v/>
      </c>
    </row>
    <row r="568">
      <c r="A568" s="33" t="n"/>
      <c r="B568" s="16" t="n"/>
      <c r="C568" s="16" t="n"/>
      <c r="D568" s="16" t="n"/>
      <c r="E568" s="16" t="n"/>
      <c r="F568" s="34" t="n"/>
      <c r="G568" s="18" t="n"/>
      <c r="H568" s="35">
        <f>IF($F568="","",$F568*$G568/100)</f>
        <v/>
      </c>
      <c r="I568" s="18" t="n"/>
      <c r="J568" s="35">
        <f>IF($F568="","",$H568*$I568/100)</f>
        <v/>
      </c>
      <c r="K568" s="18" t="n"/>
      <c r="L568" s="35">
        <f>IF($F568="","",$F568*$K568/100)</f>
        <v/>
      </c>
      <c r="M568" s="20">
        <f>IF($A568="","",ROUNDUP(MONTH($A568)/3,0))</f>
        <v/>
      </c>
    </row>
    <row r="569">
      <c r="A569" s="33" t="n"/>
      <c r="B569" s="16" t="n"/>
      <c r="C569" s="16" t="n"/>
      <c r="D569" s="16" t="n"/>
      <c r="E569" s="16" t="n"/>
      <c r="F569" s="34" t="n"/>
      <c r="G569" s="18" t="n"/>
      <c r="H569" s="35">
        <f>IF($F569="","",$F569*$G569/100)</f>
        <v/>
      </c>
      <c r="I569" s="18" t="n"/>
      <c r="J569" s="35">
        <f>IF($F569="","",$H569*$I569/100)</f>
        <v/>
      </c>
      <c r="K569" s="18" t="n"/>
      <c r="L569" s="35">
        <f>IF($F569="","",$F569*$K569/100)</f>
        <v/>
      </c>
      <c r="M569" s="20">
        <f>IF($A569="","",ROUNDUP(MONTH($A569)/3,0))</f>
        <v/>
      </c>
    </row>
    <row r="570">
      <c r="A570" s="33" t="n"/>
      <c r="B570" s="16" t="n"/>
      <c r="C570" s="16" t="n"/>
      <c r="D570" s="16" t="n"/>
      <c r="E570" s="16" t="n"/>
      <c r="F570" s="34" t="n"/>
      <c r="G570" s="18" t="n"/>
      <c r="H570" s="35">
        <f>IF($F570="","",$F570*$G570/100)</f>
        <v/>
      </c>
      <c r="I570" s="18" t="n"/>
      <c r="J570" s="35">
        <f>IF($F570="","",$H570*$I570/100)</f>
        <v/>
      </c>
      <c r="K570" s="18" t="n"/>
      <c r="L570" s="35">
        <f>IF($F570="","",$F570*$K570/100)</f>
        <v/>
      </c>
      <c r="M570" s="20">
        <f>IF($A570="","",ROUNDUP(MONTH($A570)/3,0))</f>
        <v/>
      </c>
    </row>
    <row r="571">
      <c r="A571" s="33" t="n"/>
      <c r="B571" s="16" t="n"/>
      <c r="C571" s="16" t="n"/>
      <c r="D571" s="16" t="n"/>
      <c r="E571" s="16" t="n"/>
      <c r="F571" s="34" t="n"/>
      <c r="G571" s="18" t="n"/>
      <c r="H571" s="35">
        <f>IF($F571="","",$F571*$G571/100)</f>
        <v/>
      </c>
      <c r="I571" s="18" t="n"/>
      <c r="J571" s="35">
        <f>IF($F571="","",$H571*$I571/100)</f>
        <v/>
      </c>
      <c r="K571" s="18" t="n"/>
      <c r="L571" s="35">
        <f>IF($F571="","",$F571*$K571/100)</f>
        <v/>
      </c>
      <c r="M571" s="20">
        <f>IF($A571="","",ROUNDUP(MONTH($A571)/3,0))</f>
        <v/>
      </c>
    </row>
    <row r="572">
      <c r="A572" s="33" t="n"/>
      <c r="B572" s="16" t="n"/>
      <c r="C572" s="16" t="n"/>
      <c r="D572" s="16" t="n"/>
      <c r="E572" s="16" t="n"/>
      <c r="F572" s="34" t="n"/>
      <c r="G572" s="18" t="n"/>
      <c r="H572" s="35">
        <f>IF($F572="","",$F572*$G572/100)</f>
        <v/>
      </c>
      <c r="I572" s="18" t="n"/>
      <c r="J572" s="35">
        <f>IF($F572="","",$H572*$I572/100)</f>
        <v/>
      </c>
      <c r="K572" s="18" t="n"/>
      <c r="L572" s="35">
        <f>IF($F572="","",$F572*$K572/100)</f>
        <v/>
      </c>
      <c r="M572" s="20">
        <f>IF($A572="","",ROUNDUP(MONTH($A572)/3,0))</f>
        <v/>
      </c>
    </row>
    <row r="573">
      <c r="A573" s="33" t="n"/>
      <c r="B573" s="16" t="n"/>
      <c r="C573" s="16" t="n"/>
      <c r="D573" s="16" t="n"/>
      <c r="E573" s="16" t="n"/>
      <c r="F573" s="34" t="n"/>
      <c r="G573" s="18" t="n"/>
      <c r="H573" s="35">
        <f>IF($F573="","",$F573*$G573/100)</f>
        <v/>
      </c>
      <c r="I573" s="18" t="n"/>
      <c r="J573" s="35">
        <f>IF($F573="","",$H573*$I573/100)</f>
        <v/>
      </c>
      <c r="K573" s="18" t="n"/>
      <c r="L573" s="35">
        <f>IF($F573="","",$F573*$K573/100)</f>
        <v/>
      </c>
      <c r="M573" s="20">
        <f>IF($A573="","",ROUNDUP(MONTH($A573)/3,0))</f>
        <v/>
      </c>
    </row>
    <row r="574">
      <c r="A574" s="33" t="n"/>
      <c r="B574" s="16" t="n"/>
      <c r="C574" s="16" t="n"/>
      <c r="D574" s="16" t="n"/>
      <c r="E574" s="16" t="n"/>
      <c r="F574" s="34" t="n"/>
      <c r="G574" s="18" t="n"/>
      <c r="H574" s="35">
        <f>IF($F574="","",$F574*$G574/100)</f>
        <v/>
      </c>
      <c r="I574" s="18" t="n"/>
      <c r="J574" s="35">
        <f>IF($F574="","",$H574*$I574/100)</f>
        <v/>
      </c>
      <c r="K574" s="18" t="n"/>
      <c r="L574" s="35">
        <f>IF($F574="","",$F574*$K574/100)</f>
        <v/>
      </c>
      <c r="M574" s="20">
        <f>IF($A574="","",ROUNDUP(MONTH($A574)/3,0))</f>
        <v/>
      </c>
    </row>
    <row r="575">
      <c r="A575" s="33" t="n"/>
      <c r="B575" s="16" t="n"/>
      <c r="C575" s="16" t="n"/>
      <c r="D575" s="16" t="n"/>
      <c r="E575" s="16" t="n"/>
      <c r="F575" s="34" t="n"/>
      <c r="G575" s="18" t="n"/>
      <c r="H575" s="35">
        <f>IF($F575="","",$F575*$G575/100)</f>
        <v/>
      </c>
      <c r="I575" s="18" t="n"/>
      <c r="J575" s="35">
        <f>IF($F575="","",$H575*$I575/100)</f>
        <v/>
      </c>
      <c r="K575" s="18" t="n"/>
      <c r="L575" s="35">
        <f>IF($F575="","",$F575*$K575/100)</f>
        <v/>
      </c>
      <c r="M575" s="20">
        <f>IF($A575="","",ROUNDUP(MONTH($A575)/3,0))</f>
        <v/>
      </c>
    </row>
    <row r="576">
      <c r="A576" s="33" t="n"/>
      <c r="B576" s="16" t="n"/>
      <c r="C576" s="16" t="n"/>
      <c r="D576" s="16" t="n"/>
      <c r="E576" s="16" t="n"/>
      <c r="F576" s="34" t="n"/>
      <c r="G576" s="18" t="n"/>
      <c r="H576" s="35">
        <f>IF($F576="","",$F576*$G576/100)</f>
        <v/>
      </c>
      <c r="I576" s="18" t="n"/>
      <c r="J576" s="35">
        <f>IF($F576="","",$H576*$I576/100)</f>
        <v/>
      </c>
      <c r="K576" s="18" t="n"/>
      <c r="L576" s="35">
        <f>IF($F576="","",$F576*$K576/100)</f>
        <v/>
      </c>
      <c r="M576" s="20">
        <f>IF($A576="","",ROUNDUP(MONTH($A576)/3,0))</f>
        <v/>
      </c>
    </row>
    <row r="577">
      <c r="A577" s="33" t="n"/>
      <c r="B577" s="16" t="n"/>
      <c r="C577" s="16" t="n"/>
      <c r="D577" s="16" t="n"/>
      <c r="E577" s="16" t="n"/>
      <c r="F577" s="34" t="n"/>
      <c r="G577" s="18" t="n"/>
      <c r="H577" s="35">
        <f>IF($F577="","",$F577*$G577/100)</f>
        <v/>
      </c>
      <c r="I577" s="18" t="n"/>
      <c r="J577" s="35">
        <f>IF($F577="","",$H577*$I577/100)</f>
        <v/>
      </c>
      <c r="K577" s="18" t="n"/>
      <c r="L577" s="35">
        <f>IF($F577="","",$F577*$K577/100)</f>
        <v/>
      </c>
      <c r="M577" s="20">
        <f>IF($A577="","",ROUNDUP(MONTH($A577)/3,0))</f>
        <v/>
      </c>
    </row>
    <row r="578">
      <c r="A578" s="33" t="n"/>
      <c r="B578" s="16" t="n"/>
      <c r="C578" s="16" t="n"/>
      <c r="D578" s="16" t="n"/>
      <c r="E578" s="16" t="n"/>
      <c r="F578" s="34" t="n"/>
      <c r="G578" s="18" t="n"/>
      <c r="H578" s="35">
        <f>IF($F578="","",$F578*$G578/100)</f>
        <v/>
      </c>
      <c r="I578" s="18" t="n"/>
      <c r="J578" s="35">
        <f>IF($F578="","",$H578*$I578/100)</f>
        <v/>
      </c>
      <c r="K578" s="18" t="n"/>
      <c r="L578" s="35">
        <f>IF($F578="","",$F578*$K578/100)</f>
        <v/>
      </c>
      <c r="M578" s="20">
        <f>IF($A578="","",ROUNDUP(MONTH($A578)/3,0))</f>
        <v/>
      </c>
    </row>
    <row r="579">
      <c r="A579" s="33" t="n"/>
      <c r="B579" s="16" t="n"/>
      <c r="C579" s="16" t="n"/>
      <c r="D579" s="16" t="n"/>
      <c r="E579" s="16" t="n"/>
      <c r="F579" s="34" t="n"/>
      <c r="G579" s="18" t="n"/>
      <c r="H579" s="35">
        <f>IF($F579="","",$F579*$G579/100)</f>
        <v/>
      </c>
      <c r="I579" s="18" t="n"/>
      <c r="J579" s="35">
        <f>IF($F579="","",$H579*$I579/100)</f>
        <v/>
      </c>
      <c r="K579" s="18" t="n"/>
      <c r="L579" s="35">
        <f>IF($F579="","",$F579*$K579/100)</f>
        <v/>
      </c>
      <c r="M579" s="20">
        <f>IF($A579="","",ROUNDUP(MONTH($A579)/3,0))</f>
        <v/>
      </c>
    </row>
    <row r="580">
      <c r="A580" s="33" t="n"/>
      <c r="B580" s="16" t="n"/>
      <c r="C580" s="16" t="n"/>
      <c r="D580" s="16" t="n"/>
      <c r="E580" s="16" t="n"/>
      <c r="F580" s="34" t="n"/>
      <c r="G580" s="18" t="n"/>
      <c r="H580" s="35">
        <f>IF($F580="","",$F580*$G580/100)</f>
        <v/>
      </c>
      <c r="I580" s="18" t="n"/>
      <c r="J580" s="35">
        <f>IF($F580="","",$H580*$I580/100)</f>
        <v/>
      </c>
      <c r="K580" s="18" t="n"/>
      <c r="L580" s="35">
        <f>IF($F580="","",$F580*$K580/100)</f>
        <v/>
      </c>
      <c r="M580" s="20">
        <f>IF($A580="","",ROUNDUP(MONTH($A580)/3,0))</f>
        <v/>
      </c>
    </row>
    <row r="581">
      <c r="A581" s="33" t="n"/>
      <c r="B581" s="16" t="n"/>
      <c r="C581" s="16" t="n"/>
      <c r="D581" s="16" t="n"/>
      <c r="E581" s="16" t="n"/>
      <c r="F581" s="34" t="n"/>
      <c r="G581" s="18" t="n"/>
      <c r="H581" s="35">
        <f>IF($F581="","",$F581*$G581/100)</f>
        <v/>
      </c>
      <c r="I581" s="18" t="n"/>
      <c r="J581" s="35">
        <f>IF($F581="","",$H581*$I581/100)</f>
        <v/>
      </c>
      <c r="K581" s="18" t="n"/>
      <c r="L581" s="35">
        <f>IF($F581="","",$F581*$K581/100)</f>
        <v/>
      </c>
      <c r="M581" s="20">
        <f>IF($A581="","",ROUNDUP(MONTH($A581)/3,0))</f>
        <v/>
      </c>
    </row>
    <row r="582">
      <c r="A582" s="33" t="n"/>
      <c r="B582" s="16" t="n"/>
      <c r="C582" s="16" t="n"/>
      <c r="D582" s="16" t="n"/>
      <c r="E582" s="16" t="n"/>
      <c r="F582" s="34" t="n"/>
      <c r="G582" s="18" t="n"/>
      <c r="H582" s="35">
        <f>IF($F582="","",$F582*$G582/100)</f>
        <v/>
      </c>
      <c r="I582" s="18" t="n"/>
      <c r="J582" s="35">
        <f>IF($F582="","",$H582*$I582/100)</f>
        <v/>
      </c>
      <c r="K582" s="18" t="n"/>
      <c r="L582" s="35">
        <f>IF($F582="","",$F582*$K582/100)</f>
        <v/>
      </c>
      <c r="M582" s="20">
        <f>IF($A582="","",ROUNDUP(MONTH($A582)/3,0))</f>
        <v/>
      </c>
    </row>
    <row r="583">
      <c r="A583" s="33" t="n"/>
      <c r="B583" s="16" t="n"/>
      <c r="C583" s="16" t="n"/>
      <c r="D583" s="16" t="n"/>
      <c r="E583" s="16" t="n"/>
      <c r="F583" s="34" t="n"/>
      <c r="G583" s="18" t="n"/>
      <c r="H583" s="35">
        <f>IF($F583="","",$F583*$G583/100)</f>
        <v/>
      </c>
      <c r="I583" s="18" t="n"/>
      <c r="J583" s="35">
        <f>IF($F583="","",$H583*$I583/100)</f>
        <v/>
      </c>
      <c r="K583" s="18" t="n"/>
      <c r="L583" s="35">
        <f>IF($F583="","",$F583*$K583/100)</f>
        <v/>
      </c>
      <c r="M583" s="20">
        <f>IF($A583="","",ROUNDUP(MONTH($A583)/3,0))</f>
        <v/>
      </c>
    </row>
    <row r="584">
      <c r="A584" s="33" t="n"/>
      <c r="B584" s="16" t="n"/>
      <c r="C584" s="16" t="n"/>
      <c r="D584" s="16" t="n"/>
      <c r="E584" s="16" t="n"/>
      <c r="F584" s="34" t="n"/>
      <c r="G584" s="18" t="n"/>
      <c r="H584" s="35">
        <f>IF($F584="","",$F584*$G584/100)</f>
        <v/>
      </c>
      <c r="I584" s="18" t="n"/>
      <c r="J584" s="35">
        <f>IF($F584="","",$H584*$I584/100)</f>
        <v/>
      </c>
      <c r="K584" s="18" t="n"/>
      <c r="L584" s="35">
        <f>IF($F584="","",$F584*$K584/100)</f>
        <v/>
      </c>
      <c r="M584" s="20">
        <f>IF($A584="","",ROUNDUP(MONTH($A584)/3,0))</f>
        <v/>
      </c>
    </row>
    <row r="585">
      <c r="A585" s="33" t="n"/>
      <c r="B585" s="16" t="n"/>
      <c r="C585" s="16" t="n"/>
      <c r="D585" s="16" t="n"/>
      <c r="E585" s="16" t="n"/>
      <c r="F585" s="34" t="n"/>
      <c r="G585" s="18" t="n"/>
      <c r="H585" s="35">
        <f>IF($F585="","",$F585*$G585/100)</f>
        <v/>
      </c>
      <c r="I585" s="18" t="n"/>
      <c r="J585" s="35">
        <f>IF($F585="","",$H585*$I585/100)</f>
        <v/>
      </c>
      <c r="K585" s="18" t="n"/>
      <c r="L585" s="35">
        <f>IF($F585="","",$F585*$K585/100)</f>
        <v/>
      </c>
      <c r="M585" s="20">
        <f>IF($A585="","",ROUNDUP(MONTH($A585)/3,0))</f>
        <v/>
      </c>
    </row>
    <row r="586">
      <c r="A586" s="33" t="n"/>
      <c r="B586" s="16" t="n"/>
      <c r="C586" s="16" t="n"/>
      <c r="D586" s="16" t="n"/>
      <c r="E586" s="16" t="n"/>
      <c r="F586" s="34" t="n"/>
      <c r="G586" s="18" t="n"/>
      <c r="H586" s="35">
        <f>IF($F586="","",$F586*$G586/100)</f>
        <v/>
      </c>
      <c r="I586" s="18" t="n"/>
      <c r="J586" s="35">
        <f>IF($F586="","",$H586*$I586/100)</f>
        <v/>
      </c>
      <c r="K586" s="18" t="n"/>
      <c r="L586" s="35">
        <f>IF($F586="","",$F586*$K586/100)</f>
        <v/>
      </c>
      <c r="M586" s="20">
        <f>IF($A586="","",ROUNDUP(MONTH($A586)/3,0))</f>
        <v/>
      </c>
    </row>
    <row r="587">
      <c r="A587" s="33" t="n"/>
      <c r="B587" s="16" t="n"/>
      <c r="C587" s="16" t="n"/>
      <c r="D587" s="16" t="n"/>
      <c r="E587" s="16" t="n"/>
      <c r="F587" s="34" t="n"/>
      <c r="G587" s="18" t="n"/>
      <c r="H587" s="35">
        <f>IF($F587="","",$F587*$G587/100)</f>
        <v/>
      </c>
      <c r="I587" s="18" t="n"/>
      <c r="J587" s="35">
        <f>IF($F587="","",$H587*$I587/100)</f>
        <v/>
      </c>
      <c r="K587" s="18" t="n"/>
      <c r="L587" s="35">
        <f>IF($F587="","",$F587*$K587/100)</f>
        <v/>
      </c>
      <c r="M587" s="20">
        <f>IF($A587="","",ROUNDUP(MONTH($A587)/3,0))</f>
        <v/>
      </c>
    </row>
    <row r="588">
      <c r="A588" s="33" t="n"/>
      <c r="B588" s="16" t="n"/>
      <c r="C588" s="16" t="n"/>
      <c r="D588" s="16" t="n"/>
      <c r="E588" s="16" t="n"/>
      <c r="F588" s="34" t="n"/>
      <c r="G588" s="18" t="n"/>
      <c r="H588" s="35">
        <f>IF($F588="","",$F588*$G588/100)</f>
        <v/>
      </c>
      <c r="I588" s="18" t="n"/>
      <c r="J588" s="35">
        <f>IF($F588="","",$H588*$I588/100)</f>
        <v/>
      </c>
      <c r="K588" s="18" t="n"/>
      <c r="L588" s="35">
        <f>IF($F588="","",$F588*$K588/100)</f>
        <v/>
      </c>
      <c r="M588" s="20">
        <f>IF($A588="","",ROUNDUP(MONTH($A588)/3,0))</f>
        <v/>
      </c>
    </row>
    <row r="589">
      <c r="A589" s="33" t="n"/>
      <c r="B589" s="16" t="n"/>
      <c r="C589" s="16" t="n"/>
      <c r="D589" s="16" t="n"/>
      <c r="E589" s="16" t="n"/>
      <c r="F589" s="34" t="n"/>
      <c r="G589" s="18" t="n"/>
      <c r="H589" s="35">
        <f>IF($F589="","",$F589*$G589/100)</f>
        <v/>
      </c>
      <c r="I589" s="18" t="n"/>
      <c r="J589" s="35">
        <f>IF($F589="","",$H589*$I589/100)</f>
        <v/>
      </c>
      <c r="K589" s="18" t="n"/>
      <c r="L589" s="35">
        <f>IF($F589="","",$F589*$K589/100)</f>
        <v/>
      </c>
      <c r="M589" s="20">
        <f>IF($A589="","",ROUNDUP(MONTH($A589)/3,0))</f>
        <v/>
      </c>
    </row>
    <row r="590">
      <c r="A590" s="33" t="n"/>
      <c r="B590" s="16" t="n"/>
      <c r="C590" s="16" t="n"/>
      <c r="D590" s="16" t="n"/>
      <c r="E590" s="16" t="n"/>
      <c r="F590" s="34" t="n"/>
      <c r="G590" s="18" t="n"/>
      <c r="H590" s="35">
        <f>IF($F590="","",$F590*$G590/100)</f>
        <v/>
      </c>
      <c r="I590" s="18" t="n"/>
      <c r="J590" s="35">
        <f>IF($F590="","",$H590*$I590/100)</f>
        <v/>
      </c>
      <c r="K590" s="18" t="n"/>
      <c r="L590" s="35">
        <f>IF($F590="","",$F590*$K590/100)</f>
        <v/>
      </c>
      <c r="M590" s="20">
        <f>IF($A590="","",ROUNDUP(MONTH($A590)/3,0))</f>
        <v/>
      </c>
    </row>
    <row r="591">
      <c r="A591" s="33" t="n"/>
      <c r="B591" s="16" t="n"/>
      <c r="C591" s="16" t="n"/>
      <c r="D591" s="16" t="n"/>
      <c r="E591" s="16" t="n"/>
      <c r="F591" s="34" t="n"/>
      <c r="G591" s="18" t="n"/>
      <c r="H591" s="35">
        <f>IF($F591="","",$F591*$G591/100)</f>
        <v/>
      </c>
      <c r="I591" s="18" t="n"/>
      <c r="J591" s="35">
        <f>IF($F591="","",$H591*$I591/100)</f>
        <v/>
      </c>
      <c r="K591" s="18" t="n"/>
      <c r="L591" s="35">
        <f>IF($F591="","",$F591*$K591/100)</f>
        <v/>
      </c>
      <c r="M591" s="20">
        <f>IF($A591="","",ROUNDUP(MONTH($A591)/3,0))</f>
        <v/>
      </c>
    </row>
    <row r="592">
      <c r="A592" s="33" t="n"/>
      <c r="B592" s="16" t="n"/>
      <c r="C592" s="16" t="n"/>
      <c r="D592" s="16" t="n"/>
      <c r="E592" s="16" t="n"/>
      <c r="F592" s="34" t="n"/>
      <c r="G592" s="18" t="n"/>
      <c r="H592" s="35">
        <f>IF($F592="","",$F592*$G592/100)</f>
        <v/>
      </c>
      <c r="I592" s="18" t="n"/>
      <c r="J592" s="35">
        <f>IF($F592="","",$H592*$I592/100)</f>
        <v/>
      </c>
      <c r="K592" s="18" t="n"/>
      <c r="L592" s="35">
        <f>IF($F592="","",$F592*$K592/100)</f>
        <v/>
      </c>
      <c r="M592" s="20">
        <f>IF($A592="","",ROUNDUP(MONTH($A592)/3,0))</f>
        <v/>
      </c>
    </row>
    <row r="593">
      <c r="A593" s="33" t="n"/>
      <c r="B593" s="16" t="n"/>
      <c r="C593" s="16" t="n"/>
      <c r="D593" s="16" t="n"/>
      <c r="E593" s="16" t="n"/>
      <c r="F593" s="34" t="n"/>
      <c r="G593" s="18" t="n"/>
      <c r="H593" s="35">
        <f>IF($F593="","",$F593*$G593/100)</f>
        <v/>
      </c>
      <c r="I593" s="18" t="n"/>
      <c r="J593" s="35">
        <f>IF($F593="","",$H593*$I593/100)</f>
        <v/>
      </c>
      <c r="K593" s="18" t="n"/>
      <c r="L593" s="35">
        <f>IF($F593="","",$F593*$K593/100)</f>
        <v/>
      </c>
      <c r="M593" s="20">
        <f>IF($A593="","",ROUNDUP(MONTH($A593)/3,0))</f>
        <v/>
      </c>
    </row>
    <row r="594">
      <c r="A594" s="33" t="n"/>
      <c r="B594" s="16" t="n"/>
      <c r="C594" s="16" t="n"/>
      <c r="D594" s="16" t="n"/>
      <c r="E594" s="16" t="n"/>
      <c r="F594" s="34" t="n"/>
      <c r="G594" s="18" t="n"/>
      <c r="H594" s="35">
        <f>IF($F594="","",$F594*$G594/100)</f>
        <v/>
      </c>
      <c r="I594" s="18" t="n"/>
      <c r="J594" s="35">
        <f>IF($F594="","",$H594*$I594/100)</f>
        <v/>
      </c>
      <c r="K594" s="18" t="n"/>
      <c r="L594" s="35">
        <f>IF($F594="","",$F594*$K594/100)</f>
        <v/>
      </c>
      <c r="M594" s="20">
        <f>IF($A594="","",ROUNDUP(MONTH($A594)/3,0))</f>
        <v/>
      </c>
    </row>
    <row r="595">
      <c r="A595" s="33" t="n"/>
      <c r="B595" s="16" t="n"/>
      <c r="C595" s="16" t="n"/>
      <c r="D595" s="16" t="n"/>
      <c r="E595" s="16" t="n"/>
      <c r="F595" s="34" t="n"/>
      <c r="G595" s="18" t="n"/>
      <c r="H595" s="35">
        <f>IF($F595="","",$F595*$G595/100)</f>
        <v/>
      </c>
      <c r="I595" s="18" t="n"/>
      <c r="J595" s="35">
        <f>IF($F595="","",$H595*$I595/100)</f>
        <v/>
      </c>
      <c r="K595" s="18" t="n"/>
      <c r="L595" s="35">
        <f>IF($F595="","",$F595*$K595/100)</f>
        <v/>
      </c>
      <c r="M595" s="20">
        <f>IF($A595="","",ROUNDUP(MONTH($A595)/3,0))</f>
        <v/>
      </c>
    </row>
    <row r="596">
      <c r="A596" s="33" t="n"/>
      <c r="B596" s="16" t="n"/>
      <c r="C596" s="16" t="n"/>
      <c r="D596" s="16" t="n"/>
      <c r="E596" s="16" t="n"/>
      <c r="F596" s="34" t="n"/>
      <c r="G596" s="18" t="n"/>
      <c r="H596" s="35">
        <f>IF($F596="","",$F596*$G596/100)</f>
        <v/>
      </c>
      <c r="I596" s="18" t="n"/>
      <c r="J596" s="35">
        <f>IF($F596="","",$H596*$I596/100)</f>
        <v/>
      </c>
      <c r="K596" s="18" t="n"/>
      <c r="L596" s="35">
        <f>IF($F596="","",$F596*$K596/100)</f>
        <v/>
      </c>
      <c r="M596" s="20">
        <f>IF($A596="","",ROUNDUP(MONTH($A596)/3,0))</f>
        <v/>
      </c>
    </row>
    <row r="597">
      <c r="A597" s="33" t="n"/>
      <c r="B597" s="16" t="n"/>
      <c r="C597" s="16" t="n"/>
      <c r="D597" s="16" t="n"/>
      <c r="E597" s="16" t="n"/>
      <c r="F597" s="34" t="n"/>
      <c r="G597" s="18" t="n"/>
      <c r="H597" s="35">
        <f>IF($F597="","",$F597*$G597/100)</f>
        <v/>
      </c>
      <c r="I597" s="18" t="n"/>
      <c r="J597" s="35">
        <f>IF($F597="","",$H597*$I597/100)</f>
        <v/>
      </c>
      <c r="K597" s="18" t="n"/>
      <c r="L597" s="35">
        <f>IF($F597="","",$F597*$K597/100)</f>
        <v/>
      </c>
      <c r="M597" s="20">
        <f>IF($A597="","",ROUNDUP(MONTH($A597)/3,0))</f>
        <v/>
      </c>
    </row>
    <row r="598">
      <c r="A598" s="33" t="n"/>
      <c r="B598" s="16" t="n"/>
      <c r="C598" s="16" t="n"/>
      <c r="D598" s="16" t="n"/>
      <c r="E598" s="16" t="n"/>
      <c r="F598" s="34" t="n"/>
      <c r="G598" s="18" t="n"/>
      <c r="H598" s="35">
        <f>IF($F598="","",$F598*$G598/100)</f>
        <v/>
      </c>
      <c r="I598" s="18" t="n"/>
      <c r="J598" s="35">
        <f>IF($F598="","",$H598*$I598/100)</f>
        <v/>
      </c>
      <c r="K598" s="18" t="n"/>
      <c r="L598" s="35">
        <f>IF($F598="","",$F598*$K598/100)</f>
        <v/>
      </c>
      <c r="M598" s="20">
        <f>IF($A598="","",ROUNDUP(MONTH($A598)/3,0))</f>
        <v/>
      </c>
    </row>
    <row r="599">
      <c r="A599" s="33" t="n"/>
      <c r="B599" s="16" t="n"/>
      <c r="C599" s="16" t="n"/>
      <c r="D599" s="16" t="n"/>
      <c r="E599" s="16" t="n"/>
      <c r="F599" s="34" t="n"/>
      <c r="G599" s="18" t="n"/>
      <c r="H599" s="35">
        <f>IF($F599="","",$F599*$G599/100)</f>
        <v/>
      </c>
      <c r="I599" s="18" t="n"/>
      <c r="J599" s="35">
        <f>IF($F599="","",$H599*$I599/100)</f>
        <v/>
      </c>
      <c r="K599" s="18" t="n"/>
      <c r="L599" s="35">
        <f>IF($F599="","",$F599*$K599/100)</f>
        <v/>
      </c>
      <c r="M599" s="20">
        <f>IF($A599="","",ROUNDUP(MONTH($A599)/3,0))</f>
        <v/>
      </c>
    </row>
    <row r="600">
      <c r="A600" s="33" t="n"/>
      <c r="B600" s="16" t="n"/>
      <c r="C600" s="16" t="n"/>
      <c r="D600" s="16" t="n"/>
      <c r="E600" s="16" t="n"/>
      <c r="F600" s="34" t="n"/>
      <c r="G600" s="18" t="n"/>
      <c r="H600" s="35">
        <f>IF($F600="","",$F600*$G600/100)</f>
        <v/>
      </c>
      <c r="I600" s="18" t="n"/>
      <c r="J600" s="35">
        <f>IF($F600="","",$H600*$I600/100)</f>
        <v/>
      </c>
      <c r="K600" s="18" t="n"/>
      <c r="L600" s="35">
        <f>IF($F600="","",$F600*$K600/100)</f>
        <v/>
      </c>
      <c r="M600" s="20">
        <f>IF($A600="","",ROUNDUP(MONTH($A600)/3,0))</f>
        <v/>
      </c>
    </row>
    <row r="601">
      <c r="A601" s="33" t="n"/>
      <c r="B601" s="16" t="n"/>
      <c r="C601" s="16" t="n"/>
      <c r="D601" s="16" t="n"/>
      <c r="E601" s="16" t="n"/>
      <c r="F601" s="34" t="n"/>
      <c r="G601" s="18" t="n"/>
      <c r="H601" s="35">
        <f>IF($F601="","",$F601*$G601/100)</f>
        <v/>
      </c>
      <c r="I601" s="18" t="n"/>
      <c r="J601" s="35">
        <f>IF($F601="","",$H601*$I601/100)</f>
        <v/>
      </c>
      <c r="K601" s="18" t="n"/>
      <c r="L601" s="35">
        <f>IF($F601="","",$F601*$K601/100)</f>
        <v/>
      </c>
      <c r="M601" s="20">
        <f>IF($A601="","",ROUNDUP(MONTH($A601)/3,0))</f>
        <v/>
      </c>
    </row>
    <row r="602">
      <c r="A602" s="33" t="n"/>
      <c r="B602" s="16" t="n"/>
      <c r="C602" s="16" t="n"/>
      <c r="D602" s="16" t="n"/>
      <c r="E602" s="16" t="n"/>
      <c r="F602" s="34" t="n"/>
      <c r="G602" s="18" t="n"/>
      <c r="H602" s="35">
        <f>IF($F602="","",$F602*$G602/100)</f>
        <v/>
      </c>
      <c r="I602" s="18" t="n"/>
      <c r="J602" s="35">
        <f>IF($F602="","",$H602*$I602/100)</f>
        <v/>
      </c>
      <c r="K602" s="18" t="n"/>
      <c r="L602" s="35">
        <f>IF($F602="","",$F602*$K602/100)</f>
        <v/>
      </c>
      <c r="M602" s="20">
        <f>IF($A602="","",ROUNDUP(MONTH($A602)/3,0))</f>
        <v/>
      </c>
    </row>
    <row r="603">
      <c r="A603" s="33" t="n"/>
      <c r="B603" s="16" t="n"/>
      <c r="C603" s="16" t="n"/>
      <c r="D603" s="16" t="n"/>
      <c r="E603" s="16" t="n"/>
      <c r="F603" s="34" t="n"/>
      <c r="G603" s="18" t="n"/>
      <c r="H603" s="35">
        <f>IF($F603="","",$F603*$G603/100)</f>
        <v/>
      </c>
      <c r="I603" s="18" t="n"/>
      <c r="J603" s="35">
        <f>IF($F603="","",$H603*$I603/100)</f>
        <v/>
      </c>
      <c r="K603" s="18" t="n"/>
      <c r="L603" s="35">
        <f>IF($F603="","",$F603*$K603/100)</f>
        <v/>
      </c>
      <c r="M603" s="20">
        <f>IF($A603="","",ROUNDUP(MONTH($A603)/3,0))</f>
        <v/>
      </c>
    </row>
    <row r="604">
      <c r="A604" s="33" t="n"/>
      <c r="B604" s="16" t="n"/>
      <c r="C604" s="16" t="n"/>
      <c r="D604" s="16" t="n"/>
      <c r="E604" s="16" t="n"/>
      <c r="F604" s="34" t="n"/>
      <c r="G604" s="18" t="n"/>
      <c r="H604" s="35">
        <f>IF($F604="","",$F604*$G604/100)</f>
        <v/>
      </c>
      <c r="I604" s="18" t="n"/>
      <c r="J604" s="35">
        <f>IF($F604="","",$H604*$I604/100)</f>
        <v/>
      </c>
      <c r="K604" s="18" t="n"/>
      <c r="L604" s="35">
        <f>IF($F604="","",$F604*$K604/100)</f>
        <v/>
      </c>
      <c r="M604" s="20">
        <f>IF($A604="","",ROUNDUP(MONTH($A604)/3,0))</f>
        <v/>
      </c>
    </row>
    <row r="605">
      <c r="A605" s="33" t="n"/>
      <c r="B605" s="16" t="n"/>
      <c r="C605" s="16" t="n"/>
      <c r="D605" s="16" t="n"/>
      <c r="E605" s="16" t="n"/>
      <c r="F605" s="34" t="n"/>
      <c r="G605" s="18" t="n"/>
      <c r="H605" s="35">
        <f>IF($F605="","",$F605*$G605/100)</f>
        <v/>
      </c>
      <c r="I605" s="18" t="n"/>
      <c r="J605" s="35">
        <f>IF($F605="","",$H605*$I605/100)</f>
        <v/>
      </c>
      <c r="K605" s="18" t="n"/>
      <c r="L605" s="35">
        <f>IF($F605="","",$F605*$K605/100)</f>
        <v/>
      </c>
      <c r="M605" s="20">
        <f>IF($A605="","",ROUNDUP(MONTH($A605)/3,0))</f>
        <v/>
      </c>
    </row>
    <row r="606">
      <c r="A606" s="33" t="n"/>
      <c r="B606" s="16" t="n"/>
      <c r="C606" s="16" t="n"/>
      <c r="D606" s="16" t="n"/>
      <c r="E606" s="16" t="n"/>
      <c r="F606" s="34" t="n"/>
      <c r="G606" s="18" t="n"/>
      <c r="H606" s="35">
        <f>IF($F606="","",$F606*$G606/100)</f>
        <v/>
      </c>
      <c r="I606" s="18" t="n"/>
      <c r="J606" s="35">
        <f>IF($F606="","",$H606*$I606/100)</f>
        <v/>
      </c>
      <c r="K606" s="18" t="n"/>
      <c r="L606" s="35">
        <f>IF($F606="","",$F606*$K606/100)</f>
        <v/>
      </c>
      <c r="M606" s="20">
        <f>IF($A606="","",ROUNDUP(MONTH($A606)/3,0))</f>
        <v/>
      </c>
    </row>
    <row r="607">
      <c r="A607" s="33" t="n"/>
      <c r="B607" s="16" t="n"/>
      <c r="C607" s="16" t="n"/>
      <c r="D607" s="16" t="n"/>
      <c r="E607" s="16" t="n"/>
      <c r="F607" s="34" t="n"/>
      <c r="G607" s="18" t="n"/>
      <c r="H607" s="35">
        <f>IF($F607="","",$F607*$G607/100)</f>
        <v/>
      </c>
      <c r="I607" s="18" t="n"/>
      <c r="J607" s="35">
        <f>IF($F607="","",$H607*$I607/100)</f>
        <v/>
      </c>
      <c r="K607" s="18" t="n"/>
      <c r="L607" s="35">
        <f>IF($F607="","",$F607*$K607/100)</f>
        <v/>
      </c>
      <c r="M607" s="20">
        <f>IF($A607="","",ROUNDUP(MONTH($A607)/3,0))</f>
        <v/>
      </c>
    </row>
    <row r="608">
      <c r="A608" s="33" t="n"/>
      <c r="B608" s="16" t="n"/>
      <c r="C608" s="16" t="n"/>
      <c r="D608" s="16" t="n"/>
      <c r="E608" s="16" t="n"/>
      <c r="F608" s="34" t="n"/>
      <c r="G608" s="18" t="n"/>
      <c r="H608" s="35">
        <f>IF($F608="","",$F608*$G608/100)</f>
        <v/>
      </c>
      <c r="I608" s="18" t="n"/>
      <c r="J608" s="35">
        <f>IF($F608="","",$H608*$I608/100)</f>
        <v/>
      </c>
      <c r="K608" s="18" t="n"/>
      <c r="L608" s="35">
        <f>IF($F608="","",$F608*$K608/100)</f>
        <v/>
      </c>
      <c r="M608" s="20">
        <f>IF($A608="","",ROUNDUP(MONTH($A608)/3,0))</f>
        <v/>
      </c>
    </row>
    <row r="609">
      <c r="A609" s="33" t="n"/>
      <c r="B609" s="16" t="n"/>
      <c r="C609" s="16" t="n"/>
      <c r="D609" s="16" t="n"/>
      <c r="E609" s="16" t="n"/>
      <c r="F609" s="34" t="n"/>
      <c r="G609" s="18" t="n"/>
      <c r="H609" s="35">
        <f>IF($F609="","",$F609*$G609/100)</f>
        <v/>
      </c>
      <c r="I609" s="18" t="n"/>
      <c r="J609" s="35">
        <f>IF($F609="","",$H609*$I609/100)</f>
        <v/>
      </c>
      <c r="K609" s="18" t="n"/>
      <c r="L609" s="35">
        <f>IF($F609="","",$F609*$K609/100)</f>
        <v/>
      </c>
      <c r="M609" s="20">
        <f>IF($A609="","",ROUNDUP(MONTH($A609)/3,0))</f>
        <v/>
      </c>
    </row>
    <row r="610">
      <c r="A610" s="33" t="n"/>
      <c r="B610" s="16" t="n"/>
      <c r="C610" s="16" t="n"/>
      <c r="D610" s="16" t="n"/>
      <c r="E610" s="16" t="n"/>
      <c r="F610" s="34" t="n"/>
      <c r="G610" s="18" t="n"/>
      <c r="H610" s="35">
        <f>IF($F610="","",$F610*$G610/100)</f>
        <v/>
      </c>
      <c r="I610" s="18" t="n"/>
      <c r="J610" s="35">
        <f>IF($F610="","",$H610*$I610/100)</f>
        <v/>
      </c>
      <c r="K610" s="18" t="n"/>
      <c r="L610" s="35">
        <f>IF($F610="","",$F610*$K610/100)</f>
        <v/>
      </c>
      <c r="M610" s="20">
        <f>IF($A610="","",ROUNDUP(MONTH($A610)/3,0))</f>
        <v/>
      </c>
    </row>
    <row r="611">
      <c r="A611" s="33" t="n"/>
      <c r="B611" s="16" t="n"/>
      <c r="C611" s="16" t="n"/>
      <c r="D611" s="16" t="n"/>
      <c r="E611" s="16" t="n"/>
      <c r="F611" s="34" t="n"/>
      <c r="G611" s="18" t="n"/>
      <c r="H611" s="35">
        <f>IF($F611="","",$F611*$G611/100)</f>
        <v/>
      </c>
      <c r="I611" s="18" t="n"/>
      <c r="J611" s="35">
        <f>IF($F611="","",$H611*$I611/100)</f>
        <v/>
      </c>
      <c r="K611" s="18" t="n"/>
      <c r="L611" s="35">
        <f>IF($F611="","",$F611*$K611/100)</f>
        <v/>
      </c>
      <c r="M611" s="20">
        <f>IF($A611="","",ROUNDUP(MONTH($A611)/3,0))</f>
        <v/>
      </c>
    </row>
    <row r="612">
      <c r="A612" s="33" t="n"/>
      <c r="B612" s="16" t="n"/>
      <c r="C612" s="16" t="n"/>
      <c r="D612" s="16" t="n"/>
      <c r="E612" s="16" t="n"/>
      <c r="F612" s="34" t="n"/>
      <c r="G612" s="18" t="n"/>
      <c r="H612" s="35">
        <f>IF($F612="","",$F612*$G612/100)</f>
        <v/>
      </c>
      <c r="I612" s="18" t="n"/>
      <c r="J612" s="35">
        <f>IF($F612="","",$H612*$I612/100)</f>
        <v/>
      </c>
      <c r="K612" s="18" t="n"/>
      <c r="L612" s="35">
        <f>IF($F612="","",$F612*$K612/100)</f>
        <v/>
      </c>
      <c r="M612" s="20">
        <f>IF($A612="","",ROUNDUP(MONTH($A612)/3,0))</f>
        <v/>
      </c>
    </row>
    <row r="613">
      <c r="A613" s="33" t="n"/>
      <c r="B613" s="16" t="n"/>
      <c r="C613" s="16" t="n"/>
      <c r="D613" s="16" t="n"/>
      <c r="E613" s="16" t="n"/>
      <c r="F613" s="34" t="n"/>
      <c r="G613" s="18" t="n"/>
      <c r="H613" s="35">
        <f>IF($F613="","",$F613*$G613/100)</f>
        <v/>
      </c>
      <c r="I613" s="18" t="n"/>
      <c r="J613" s="35">
        <f>IF($F613="","",$H613*$I613/100)</f>
        <v/>
      </c>
      <c r="K613" s="18" t="n"/>
      <c r="L613" s="35">
        <f>IF($F613="","",$F613*$K613/100)</f>
        <v/>
      </c>
      <c r="M613" s="20">
        <f>IF($A613="","",ROUNDUP(MONTH($A613)/3,0))</f>
        <v/>
      </c>
    </row>
    <row r="614">
      <c r="A614" s="33" t="n"/>
      <c r="B614" s="16" t="n"/>
      <c r="C614" s="16" t="n"/>
      <c r="D614" s="16" t="n"/>
      <c r="E614" s="16" t="n"/>
      <c r="F614" s="34" t="n"/>
      <c r="G614" s="18" t="n"/>
      <c r="H614" s="35">
        <f>IF($F614="","",$F614*$G614/100)</f>
        <v/>
      </c>
      <c r="I614" s="18" t="n"/>
      <c r="J614" s="35">
        <f>IF($F614="","",$H614*$I614/100)</f>
        <v/>
      </c>
      <c r="K614" s="18" t="n"/>
      <c r="L614" s="35">
        <f>IF($F614="","",$F614*$K614/100)</f>
        <v/>
      </c>
      <c r="M614" s="20">
        <f>IF($A614="","",ROUNDUP(MONTH($A614)/3,0))</f>
        <v/>
      </c>
    </row>
    <row r="615">
      <c r="A615" s="33" t="n"/>
      <c r="B615" s="16" t="n"/>
      <c r="C615" s="16" t="n"/>
      <c r="D615" s="16" t="n"/>
      <c r="E615" s="16" t="n"/>
      <c r="F615" s="34" t="n"/>
      <c r="G615" s="18" t="n"/>
      <c r="H615" s="35">
        <f>IF($F615="","",$F615*$G615/100)</f>
        <v/>
      </c>
      <c r="I615" s="18" t="n"/>
      <c r="J615" s="35">
        <f>IF($F615="","",$H615*$I615/100)</f>
        <v/>
      </c>
      <c r="K615" s="18" t="n"/>
      <c r="L615" s="35">
        <f>IF($F615="","",$F615*$K615/100)</f>
        <v/>
      </c>
      <c r="M615" s="20">
        <f>IF($A615="","",ROUNDUP(MONTH($A615)/3,0))</f>
        <v/>
      </c>
    </row>
    <row r="616">
      <c r="A616" s="33" t="n"/>
      <c r="B616" s="16" t="n"/>
      <c r="C616" s="16" t="n"/>
      <c r="D616" s="16" t="n"/>
      <c r="E616" s="16" t="n"/>
      <c r="F616" s="34" t="n"/>
      <c r="G616" s="18" t="n"/>
      <c r="H616" s="35">
        <f>IF($F616="","",$F616*$G616/100)</f>
        <v/>
      </c>
      <c r="I616" s="18" t="n"/>
      <c r="J616" s="35">
        <f>IF($F616="","",$H616*$I616/100)</f>
        <v/>
      </c>
      <c r="K616" s="18" t="n"/>
      <c r="L616" s="35">
        <f>IF($F616="","",$F616*$K616/100)</f>
        <v/>
      </c>
      <c r="M616" s="20">
        <f>IF($A616="","",ROUNDUP(MONTH($A616)/3,0))</f>
        <v/>
      </c>
    </row>
    <row r="617">
      <c r="A617" s="33" t="n"/>
      <c r="B617" s="16" t="n"/>
      <c r="C617" s="16" t="n"/>
      <c r="D617" s="16" t="n"/>
      <c r="E617" s="16" t="n"/>
      <c r="F617" s="34" t="n"/>
      <c r="G617" s="18" t="n"/>
      <c r="H617" s="35">
        <f>IF($F617="","",$F617*$G617/100)</f>
        <v/>
      </c>
      <c r="I617" s="18" t="n"/>
      <c r="J617" s="35">
        <f>IF($F617="","",$H617*$I617/100)</f>
        <v/>
      </c>
      <c r="K617" s="18" t="n"/>
      <c r="L617" s="35">
        <f>IF($F617="","",$F617*$K617/100)</f>
        <v/>
      </c>
      <c r="M617" s="20">
        <f>IF($A617="","",ROUNDUP(MONTH($A617)/3,0))</f>
        <v/>
      </c>
    </row>
    <row r="618">
      <c r="A618" s="33" t="n"/>
      <c r="B618" s="16" t="n"/>
      <c r="C618" s="16" t="n"/>
      <c r="D618" s="16" t="n"/>
      <c r="E618" s="16" t="n"/>
      <c r="F618" s="34" t="n"/>
      <c r="G618" s="18" t="n"/>
      <c r="H618" s="35">
        <f>IF($F618="","",$F618*$G618/100)</f>
        <v/>
      </c>
      <c r="I618" s="18" t="n"/>
      <c r="J618" s="35">
        <f>IF($F618="","",$H618*$I618/100)</f>
        <v/>
      </c>
      <c r="K618" s="18" t="n"/>
      <c r="L618" s="35">
        <f>IF($F618="","",$F618*$K618/100)</f>
        <v/>
      </c>
      <c r="M618" s="20">
        <f>IF($A618="","",ROUNDUP(MONTH($A618)/3,0))</f>
        <v/>
      </c>
    </row>
    <row r="619">
      <c r="A619" s="33" t="n"/>
      <c r="B619" s="16" t="n"/>
      <c r="C619" s="16" t="n"/>
      <c r="D619" s="16" t="n"/>
      <c r="E619" s="16" t="n"/>
      <c r="F619" s="34" t="n"/>
      <c r="G619" s="18" t="n"/>
      <c r="H619" s="35">
        <f>IF($F619="","",$F619*$G619/100)</f>
        <v/>
      </c>
      <c r="I619" s="18" t="n"/>
      <c r="J619" s="35">
        <f>IF($F619="","",$H619*$I619/100)</f>
        <v/>
      </c>
      <c r="K619" s="18" t="n"/>
      <c r="L619" s="35">
        <f>IF($F619="","",$F619*$K619/100)</f>
        <v/>
      </c>
      <c r="M619" s="20">
        <f>IF($A619="","",ROUNDUP(MONTH($A619)/3,0))</f>
        <v/>
      </c>
    </row>
    <row r="620">
      <c r="A620" s="33" t="n"/>
      <c r="B620" s="16" t="n"/>
      <c r="C620" s="16" t="n"/>
      <c r="D620" s="16" t="n"/>
      <c r="E620" s="16" t="n"/>
      <c r="F620" s="34" t="n"/>
      <c r="G620" s="18" t="n"/>
      <c r="H620" s="35">
        <f>IF($F620="","",$F620*$G620/100)</f>
        <v/>
      </c>
      <c r="I620" s="18" t="n"/>
      <c r="J620" s="35">
        <f>IF($F620="","",$H620*$I620/100)</f>
        <v/>
      </c>
      <c r="K620" s="18" t="n"/>
      <c r="L620" s="35">
        <f>IF($F620="","",$F620*$K620/100)</f>
        <v/>
      </c>
      <c r="M620" s="20">
        <f>IF($A620="","",ROUNDUP(MONTH($A620)/3,0))</f>
        <v/>
      </c>
    </row>
    <row r="621">
      <c r="A621" s="33" t="n"/>
      <c r="B621" s="16" t="n"/>
      <c r="C621" s="16" t="n"/>
      <c r="D621" s="16" t="n"/>
      <c r="E621" s="16" t="n"/>
      <c r="F621" s="34" t="n"/>
      <c r="G621" s="18" t="n"/>
      <c r="H621" s="35">
        <f>IF($F621="","",$F621*$G621/100)</f>
        <v/>
      </c>
      <c r="I621" s="18" t="n"/>
      <c r="J621" s="35">
        <f>IF($F621="","",$H621*$I621/100)</f>
        <v/>
      </c>
      <c r="K621" s="18" t="n"/>
      <c r="L621" s="35">
        <f>IF($F621="","",$F621*$K621/100)</f>
        <v/>
      </c>
      <c r="M621" s="20">
        <f>IF($A621="","",ROUNDUP(MONTH($A621)/3,0))</f>
        <v/>
      </c>
    </row>
    <row r="622">
      <c r="A622" s="33" t="n"/>
      <c r="B622" s="16" t="n"/>
      <c r="C622" s="16" t="n"/>
      <c r="D622" s="16" t="n"/>
      <c r="E622" s="16" t="n"/>
      <c r="F622" s="34" t="n"/>
      <c r="G622" s="18" t="n"/>
      <c r="H622" s="35">
        <f>IF($F622="","",$F622*$G622/100)</f>
        <v/>
      </c>
      <c r="I622" s="18" t="n"/>
      <c r="J622" s="35">
        <f>IF($F622="","",$H622*$I622/100)</f>
        <v/>
      </c>
      <c r="K622" s="18" t="n"/>
      <c r="L622" s="35">
        <f>IF($F622="","",$F622*$K622/100)</f>
        <v/>
      </c>
      <c r="M622" s="20">
        <f>IF($A622="","",ROUNDUP(MONTH($A622)/3,0))</f>
        <v/>
      </c>
    </row>
    <row r="623">
      <c r="A623" s="33" t="n"/>
      <c r="B623" s="16" t="n"/>
      <c r="C623" s="16" t="n"/>
      <c r="D623" s="16" t="n"/>
      <c r="E623" s="16" t="n"/>
      <c r="F623" s="34" t="n"/>
      <c r="G623" s="18" t="n"/>
      <c r="H623" s="35">
        <f>IF($F623="","",$F623*$G623/100)</f>
        <v/>
      </c>
      <c r="I623" s="18" t="n"/>
      <c r="J623" s="35">
        <f>IF($F623="","",$H623*$I623/100)</f>
        <v/>
      </c>
      <c r="K623" s="18" t="n"/>
      <c r="L623" s="35">
        <f>IF($F623="","",$F623*$K623/100)</f>
        <v/>
      </c>
      <c r="M623" s="20">
        <f>IF($A623="","",ROUNDUP(MONTH($A623)/3,0))</f>
        <v/>
      </c>
    </row>
    <row r="624">
      <c r="A624" s="33" t="n"/>
      <c r="B624" s="16" t="n"/>
      <c r="C624" s="16" t="n"/>
      <c r="D624" s="16" t="n"/>
      <c r="E624" s="16" t="n"/>
      <c r="F624" s="34" t="n"/>
      <c r="G624" s="18" t="n"/>
      <c r="H624" s="35">
        <f>IF($F624="","",$F624*$G624/100)</f>
        <v/>
      </c>
      <c r="I624" s="18" t="n"/>
      <c r="J624" s="35">
        <f>IF($F624="","",$H624*$I624/100)</f>
        <v/>
      </c>
      <c r="K624" s="18" t="n"/>
      <c r="L624" s="35">
        <f>IF($F624="","",$F624*$K624/100)</f>
        <v/>
      </c>
      <c r="M624" s="20">
        <f>IF($A624="","",ROUNDUP(MONTH($A624)/3,0))</f>
        <v/>
      </c>
    </row>
    <row r="625">
      <c r="A625" s="33" t="n"/>
      <c r="B625" s="16" t="n"/>
      <c r="C625" s="16" t="n"/>
      <c r="D625" s="16" t="n"/>
      <c r="E625" s="16" t="n"/>
      <c r="F625" s="34" t="n"/>
      <c r="G625" s="18" t="n"/>
      <c r="H625" s="35">
        <f>IF($F625="","",$F625*$G625/100)</f>
        <v/>
      </c>
      <c r="I625" s="18" t="n"/>
      <c r="J625" s="35">
        <f>IF($F625="","",$H625*$I625/100)</f>
        <v/>
      </c>
      <c r="K625" s="18" t="n"/>
      <c r="L625" s="35">
        <f>IF($F625="","",$F625*$K625/100)</f>
        <v/>
      </c>
      <c r="M625" s="20">
        <f>IF($A625="","",ROUNDUP(MONTH($A625)/3,0))</f>
        <v/>
      </c>
    </row>
    <row r="626">
      <c r="A626" s="33" t="n"/>
      <c r="B626" s="16" t="n"/>
      <c r="C626" s="16" t="n"/>
      <c r="D626" s="16" t="n"/>
      <c r="E626" s="16" t="n"/>
      <c r="F626" s="34" t="n"/>
      <c r="G626" s="18" t="n"/>
      <c r="H626" s="35">
        <f>IF($F626="","",$F626*$G626/100)</f>
        <v/>
      </c>
      <c r="I626" s="18" t="n"/>
      <c r="J626" s="35">
        <f>IF($F626="","",$H626*$I626/100)</f>
        <v/>
      </c>
      <c r="K626" s="18" t="n"/>
      <c r="L626" s="35">
        <f>IF($F626="","",$F626*$K626/100)</f>
        <v/>
      </c>
      <c r="M626" s="20">
        <f>IF($A626="","",ROUNDUP(MONTH($A626)/3,0))</f>
        <v/>
      </c>
    </row>
    <row r="627">
      <c r="A627" s="33" t="n"/>
      <c r="B627" s="16" t="n"/>
      <c r="C627" s="16" t="n"/>
      <c r="D627" s="16" t="n"/>
      <c r="E627" s="16" t="n"/>
      <c r="F627" s="34" t="n"/>
      <c r="G627" s="18" t="n"/>
      <c r="H627" s="35">
        <f>IF($F627="","",$F627*$G627/100)</f>
        <v/>
      </c>
      <c r="I627" s="18" t="n"/>
      <c r="J627" s="35">
        <f>IF($F627="","",$H627*$I627/100)</f>
        <v/>
      </c>
      <c r="K627" s="18" t="n"/>
      <c r="L627" s="35">
        <f>IF($F627="","",$F627*$K627/100)</f>
        <v/>
      </c>
      <c r="M627" s="20">
        <f>IF($A627="","",ROUNDUP(MONTH($A627)/3,0))</f>
        <v/>
      </c>
    </row>
    <row r="628">
      <c r="A628" s="33" t="n"/>
      <c r="B628" s="16" t="n"/>
      <c r="C628" s="16" t="n"/>
      <c r="D628" s="16" t="n"/>
      <c r="E628" s="16" t="n"/>
      <c r="F628" s="34" t="n"/>
      <c r="G628" s="18" t="n"/>
      <c r="H628" s="35">
        <f>IF($F628="","",$F628*$G628/100)</f>
        <v/>
      </c>
      <c r="I628" s="18" t="n"/>
      <c r="J628" s="35">
        <f>IF($F628="","",$H628*$I628/100)</f>
        <v/>
      </c>
      <c r="K628" s="18" t="n"/>
      <c r="L628" s="35">
        <f>IF($F628="","",$F628*$K628/100)</f>
        <v/>
      </c>
      <c r="M628" s="20">
        <f>IF($A628="","",ROUNDUP(MONTH($A628)/3,0))</f>
        <v/>
      </c>
    </row>
    <row r="629">
      <c r="A629" s="33" t="n"/>
      <c r="B629" s="16" t="n"/>
      <c r="C629" s="16" t="n"/>
      <c r="D629" s="16" t="n"/>
      <c r="E629" s="16" t="n"/>
      <c r="F629" s="34" t="n"/>
      <c r="G629" s="18" t="n"/>
      <c r="H629" s="35">
        <f>IF($F629="","",$F629*$G629/100)</f>
        <v/>
      </c>
      <c r="I629" s="18" t="n"/>
      <c r="J629" s="35">
        <f>IF($F629="","",$H629*$I629/100)</f>
        <v/>
      </c>
      <c r="K629" s="18" t="n"/>
      <c r="L629" s="35">
        <f>IF($F629="","",$F629*$K629/100)</f>
        <v/>
      </c>
      <c r="M629" s="20">
        <f>IF($A629="","",ROUNDUP(MONTH($A629)/3,0))</f>
        <v/>
      </c>
    </row>
    <row r="630">
      <c r="A630" s="33" t="n"/>
      <c r="B630" s="16" t="n"/>
      <c r="C630" s="16" t="n"/>
      <c r="D630" s="16" t="n"/>
      <c r="E630" s="16" t="n"/>
      <c r="F630" s="34" t="n"/>
      <c r="G630" s="18" t="n"/>
      <c r="H630" s="35">
        <f>IF($F630="","",$F630*$G630/100)</f>
        <v/>
      </c>
      <c r="I630" s="18" t="n"/>
      <c r="J630" s="35">
        <f>IF($F630="","",$H630*$I630/100)</f>
        <v/>
      </c>
      <c r="K630" s="18" t="n"/>
      <c r="L630" s="35">
        <f>IF($F630="","",$F630*$K630/100)</f>
        <v/>
      </c>
      <c r="M630" s="20">
        <f>IF($A630="","",ROUNDUP(MONTH($A630)/3,0))</f>
        <v/>
      </c>
    </row>
    <row r="631">
      <c r="A631" s="33" t="n"/>
      <c r="B631" s="16" t="n"/>
      <c r="C631" s="16" t="n"/>
      <c r="D631" s="16" t="n"/>
      <c r="E631" s="16" t="n"/>
      <c r="F631" s="34" t="n"/>
      <c r="G631" s="18" t="n"/>
      <c r="H631" s="35">
        <f>IF($F631="","",$F631*$G631/100)</f>
        <v/>
      </c>
      <c r="I631" s="18" t="n"/>
      <c r="J631" s="35">
        <f>IF($F631="","",$H631*$I631/100)</f>
        <v/>
      </c>
      <c r="K631" s="18" t="n"/>
      <c r="L631" s="35">
        <f>IF($F631="","",$F631*$K631/100)</f>
        <v/>
      </c>
      <c r="M631" s="20">
        <f>IF($A631="","",ROUNDUP(MONTH($A631)/3,0))</f>
        <v/>
      </c>
    </row>
    <row r="632">
      <c r="A632" s="33" t="n"/>
      <c r="B632" s="16" t="n"/>
      <c r="C632" s="16" t="n"/>
      <c r="D632" s="16" t="n"/>
      <c r="E632" s="16" t="n"/>
      <c r="F632" s="34" t="n"/>
      <c r="G632" s="18" t="n"/>
      <c r="H632" s="35">
        <f>IF($F632="","",$F632*$G632/100)</f>
        <v/>
      </c>
      <c r="I632" s="18" t="n"/>
      <c r="J632" s="35">
        <f>IF($F632="","",$H632*$I632/100)</f>
        <v/>
      </c>
      <c r="K632" s="18" t="n"/>
      <c r="L632" s="35">
        <f>IF($F632="","",$F632*$K632/100)</f>
        <v/>
      </c>
      <c r="M632" s="20">
        <f>IF($A632="","",ROUNDUP(MONTH($A632)/3,0))</f>
        <v/>
      </c>
    </row>
    <row r="633">
      <c r="A633" s="33" t="n"/>
      <c r="B633" s="16" t="n"/>
      <c r="C633" s="16" t="n"/>
      <c r="D633" s="16" t="n"/>
      <c r="E633" s="16" t="n"/>
      <c r="F633" s="34" t="n"/>
      <c r="G633" s="18" t="n"/>
      <c r="H633" s="35">
        <f>IF($F633="","",$F633*$G633/100)</f>
        <v/>
      </c>
      <c r="I633" s="18" t="n"/>
      <c r="J633" s="35">
        <f>IF($F633="","",$H633*$I633/100)</f>
        <v/>
      </c>
      <c r="K633" s="18" t="n"/>
      <c r="L633" s="35">
        <f>IF($F633="","",$F633*$K633/100)</f>
        <v/>
      </c>
      <c r="M633" s="20">
        <f>IF($A633="","",ROUNDUP(MONTH($A633)/3,0))</f>
        <v/>
      </c>
    </row>
    <row r="634">
      <c r="A634" s="33" t="n"/>
      <c r="B634" s="16" t="n"/>
      <c r="C634" s="16" t="n"/>
      <c r="D634" s="16" t="n"/>
      <c r="E634" s="16" t="n"/>
      <c r="F634" s="34" t="n"/>
      <c r="G634" s="18" t="n"/>
      <c r="H634" s="35">
        <f>IF($F634="","",$F634*$G634/100)</f>
        <v/>
      </c>
      <c r="I634" s="18" t="n"/>
      <c r="J634" s="35">
        <f>IF($F634="","",$H634*$I634/100)</f>
        <v/>
      </c>
      <c r="K634" s="18" t="n"/>
      <c r="L634" s="35">
        <f>IF($F634="","",$F634*$K634/100)</f>
        <v/>
      </c>
      <c r="M634" s="20">
        <f>IF($A634="","",ROUNDUP(MONTH($A634)/3,0))</f>
        <v/>
      </c>
    </row>
    <row r="635">
      <c r="A635" s="33" t="n"/>
      <c r="B635" s="16" t="n"/>
      <c r="C635" s="16" t="n"/>
      <c r="D635" s="16" t="n"/>
      <c r="E635" s="16" t="n"/>
      <c r="F635" s="34" t="n"/>
      <c r="G635" s="18" t="n"/>
      <c r="H635" s="35">
        <f>IF($F635="","",$F635*$G635/100)</f>
        <v/>
      </c>
      <c r="I635" s="18" t="n"/>
      <c r="J635" s="35">
        <f>IF($F635="","",$H635*$I635/100)</f>
        <v/>
      </c>
      <c r="K635" s="18" t="n"/>
      <c r="L635" s="35">
        <f>IF($F635="","",$F635*$K635/100)</f>
        <v/>
      </c>
      <c r="M635" s="20">
        <f>IF($A635="","",ROUNDUP(MONTH($A635)/3,0))</f>
        <v/>
      </c>
    </row>
    <row r="636">
      <c r="A636" s="33" t="n"/>
      <c r="B636" s="16" t="n"/>
      <c r="C636" s="16" t="n"/>
      <c r="D636" s="16" t="n"/>
      <c r="E636" s="16" t="n"/>
      <c r="F636" s="34" t="n"/>
      <c r="G636" s="18" t="n"/>
      <c r="H636" s="35">
        <f>IF($F636="","",$F636*$G636/100)</f>
        <v/>
      </c>
      <c r="I636" s="18" t="n"/>
      <c r="J636" s="35">
        <f>IF($F636="","",$H636*$I636/100)</f>
        <v/>
      </c>
      <c r="K636" s="18" t="n"/>
      <c r="L636" s="35">
        <f>IF($F636="","",$F636*$K636/100)</f>
        <v/>
      </c>
      <c r="M636" s="20">
        <f>IF($A636="","",ROUNDUP(MONTH($A636)/3,0))</f>
        <v/>
      </c>
    </row>
    <row r="637">
      <c r="A637" s="33" t="n"/>
      <c r="B637" s="16" t="n"/>
      <c r="C637" s="16" t="n"/>
      <c r="D637" s="16" t="n"/>
      <c r="E637" s="16" t="n"/>
      <c r="F637" s="34" t="n"/>
      <c r="G637" s="18" t="n"/>
      <c r="H637" s="35">
        <f>IF($F637="","",$F637*$G637/100)</f>
        <v/>
      </c>
      <c r="I637" s="18" t="n"/>
      <c r="J637" s="35">
        <f>IF($F637="","",$H637*$I637/100)</f>
        <v/>
      </c>
      <c r="K637" s="18" t="n"/>
      <c r="L637" s="35">
        <f>IF($F637="","",$F637*$K637/100)</f>
        <v/>
      </c>
      <c r="M637" s="20">
        <f>IF($A637="","",ROUNDUP(MONTH($A637)/3,0))</f>
        <v/>
      </c>
    </row>
    <row r="638">
      <c r="A638" s="33" t="n"/>
      <c r="B638" s="16" t="n"/>
      <c r="C638" s="16" t="n"/>
      <c r="D638" s="16" t="n"/>
      <c r="E638" s="16" t="n"/>
      <c r="F638" s="34" t="n"/>
      <c r="G638" s="18" t="n"/>
      <c r="H638" s="35">
        <f>IF($F638="","",$F638*$G638/100)</f>
        <v/>
      </c>
      <c r="I638" s="18" t="n"/>
      <c r="J638" s="35">
        <f>IF($F638="","",$H638*$I638/100)</f>
        <v/>
      </c>
      <c r="K638" s="18" t="n"/>
      <c r="L638" s="35">
        <f>IF($F638="","",$F638*$K638/100)</f>
        <v/>
      </c>
      <c r="M638" s="20">
        <f>IF($A638="","",ROUNDUP(MONTH($A638)/3,0))</f>
        <v/>
      </c>
    </row>
    <row r="639">
      <c r="A639" s="33" t="n"/>
      <c r="B639" s="16" t="n"/>
      <c r="C639" s="16" t="n"/>
      <c r="D639" s="16" t="n"/>
      <c r="E639" s="16" t="n"/>
      <c r="F639" s="34" t="n"/>
      <c r="G639" s="18" t="n"/>
      <c r="H639" s="35">
        <f>IF($F639="","",$F639*$G639/100)</f>
        <v/>
      </c>
      <c r="I639" s="18" t="n"/>
      <c r="J639" s="35">
        <f>IF($F639="","",$H639*$I639/100)</f>
        <v/>
      </c>
      <c r="K639" s="18" t="n"/>
      <c r="L639" s="35">
        <f>IF($F639="","",$F639*$K639/100)</f>
        <v/>
      </c>
      <c r="M639" s="20">
        <f>IF($A639="","",ROUNDUP(MONTH($A639)/3,0))</f>
        <v/>
      </c>
    </row>
    <row r="640">
      <c r="A640" s="33" t="n"/>
      <c r="B640" s="16" t="n"/>
      <c r="C640" s="16" t="n"/>
      <c r="D640" s="16" t="n"/>
      <c r="E640" s="16" t="n"/>
      <c r="F640" s="34" t="n"/>
      <c r="G640" s="18" t="n"/>
      <c r="H640" s="35">
        <f>IF($F640="","",$F640*$G640/100)</f>
        <v/>
      </c>
      <c r="I640" s="18" t="n"/>
      <c r="J640" s="35">
        <f>IF($F640="","",$H640*$I640/100)</f>
        <v/>
      </c>
      <c r="K640" s="18" t="n"/>
      <c r="L640" s="35">
        <f>IF($F640="","",$F640*$K640/100)</f>
        <v/>
      </c>
      <c r="M640" s="20">
        <f>IF($A640="","",ROUNDUP(MONTH($A640)/3,0))</f>
        <v/>
      </c>
    </row>
    <row r="641">
      <c r="A641" s="33" t="n"/>
      <c r="B641" s="16" t="n"/>
      <c r="C641" s="16" t="n"/>
      <c r="D641" s="16" t="n"/>
      <c r="E641" s="16" t="n"/>
      <c r="F641" s="34" t="n"/>
      <c r="G641" s="18" t="n"/>
      <c r="H641" s="35">
        <f>IF($F641="","",$F641*$G641/100)</f>
        <v/>
      </c>
      <c r="I641" s="18" t="n"/>
      <c r="J641" s="35">
        <f>IF($F641="","",$H641*$I641/100)</f>
        <v/>
      </c>
      <c r="K641" s="18" t="n"/>
      <c r="L641" s="35">
        <f>IF($F641="","",$F641*$K641/100)</f>
        <v/>
      </c>
      <c r="M641" s="20">
        <f>IF($A641="","",ROUNDUP(MONTH($A641)/3,0))</f>
        <v/>
      </c>
    </row>
    <row r="642">
      <c r="A642" s="33" t="n"/>
      <c r="B642" s="16" t="n"/>
      <c r="C642" s="16" t="n"/>
      <c r="D642" s="16" t="n"/>
      <c r="E642" s="16" t="n"/>
      <c r="F642" s="34" t="n"/>
      <c r="G642" s="18" t="n"/>
      <c r="H642" s="35">
        <f>IF($F642="","",$F642*$G642/100)</f>
        <v/>
      </c>
      <c r="I642" s="18" t="n"/>
      <c r="J642" s="35">
        <f>IF($F642="","",$H642*$I642/100)</f>
        <v/>
      </c>
      <c r="K642" s="18" t="n"/>
      <c r="L642" s="35">
        <f>IF($F642="","",$F642*$K642/100)</f>
        <v/>
      </c>
      <c r="M642" s="20">
        <f>IF($A642="","",ROUNDUP(MONTH($A642)/3,0))</f>
        <v/>
      </c>
    </row>
    <row r="643">
      <c r="A643" s="33" t="n"/>
      <c r="B643" s="16" t="n"/>
      <c r="C643" s="16" t="n"/>
      <c r="D643" s="16" t="n"/>
      <c r="E643" s="16" t="n"/>
      <c r="F643" s="34" t="n"/>
      <c r="G643" s="18" t="n"/>
      <c r="H643" s="35">
        <f>IF($F643="","",$F643*$G643/100)</f>
        <v/>
      </c>
      <c r="I643" s="18" t="n"/>
      <c r="J643" s="35">
        <f>IF($F643="","",$H643*$I643/100)</f>
        <v/>
      </c>
      <c r="K643" s="18" t="n"/>
      <c r="L643" s="35">
        <f>IF($F643="","",$F643*$K643/100)</f>
        <v/>
      </c>
      <c r="M643" s="20">
        <f>IF($A643="","",ROUNDUP(MONTH($A643)/3,0))</f>
        <v/>
      </c>
    </row>
    <row r="644">
      <c r="A644" s="33" t="n"/>
      <c r="B644" s="16" t="n"/>
      <c r="C644" s="16" t="n"/>
      <c r="D644" s="16" t="n"/>
      <c r="E644" s="16" t="n"/>
      <c r="F644" s="34" t="n"/>
      <c r="G644" s="18" t="n"/>
      <c r="H644" s="35">
        <f>IF($F644="","",$F644*$G644/100)</f>
        <v/>
      </c>
      <c r="I644" s="18" t="n"/>
      <c r="J644" s="35">
        <f>IF($F644="","",$H644*$I644/100)</f>
        <v/>
      </c>
      <c r="K644" s="18" t="n"/>
      <c r="L644" s="35">
        <f>IF($F644="","",$F644*$K644/100)</f>
        <v/>
      </c>
      <c r="M644" s="20">
        <f>IF($A644="","",ROUNDUP(MONTH($A644)/3,0))</f>
        <v/>
      </c>
    </row>
    <row r="645">
      <c r="A645" s="33" t="n"/>
      <c r="B645" s="16" t="n"/>
      <c r="C645" s="16" t="n"/>
      <c r="D645" s="16" t="n"/>
      <c r="E645" s="16" t="n"/>
      <c r="F645" s="34" t="n"/>
      <c r="G645" s="18" t="n"/>
      <c r="H645" s="35">
        <f>IF($F645="","",$F645*$G645/100)</f>
        <v/>
      </c>
      <c r="I645" s="18" t="n"/>
      <c r="J645" s="35">
        <f>IF($F645="","",$H645*$I645/100)</f>
        <v/>
      </c>
      <c r="K645" s="18" t="n"/>
      <c r="L645" s="35">
        <f>IF($F645="","",$F645*$K645/100)</f>
        <v/>
      </c>
      <c r="M645" s="20">
        <f>IF($A645="","",ROUNDUP(MONTH($A645)/3,0))</f>
        <v/>
      </c>
    </row>
    <row r="646">
      <c r="A646" s="33" t="n"/>
      <c r="B646" s="16" t="n"/>
      <c r="C646" s="16" t="n"/>
      <c r="D646" s="16" t="n"/>
      <c r="E646" s="16" t="n"/>
      <c r="F646" s="34" t="n"/>
      <c r="G646" s="18" t="n"/>
      <c r="H646" s="35">
        <f>IF($F646="","",$F646*$G646/100)</f>
        <v/>
      </c>
      <c r="I646" s="18" t="n"/>
      <c r="J646" s="35">
        <f>IF($F646="","",$H646*$I646/100)</f>
        <v/>
      </c>
      <c r="K646" s="18" t="n"/>
      <c r="L646" s="35">
        <f>IF($F646="","",$F646*$K646/100)</f>
        <v/>
      </c>
      <c r="M646" s="20">
        <f>IF($A646="","",ROUNDUP(MONTH($A646)/3,0))</f>
        <v/>
      </c>
    </row>
    <row r="647">
      <c r="A647" s="33" t="n"/>
      <c r="B647" s="16" t="n"/>
      <c r="C647" s="16" t="n"/>
      <c r="D647" s="16" t="n"/>
      <c r="E647" s="16" t="n"/>
      <c r="F647" s="34" t="n"/>
      <c r="G647" s="18" t="n"/>
      <c r="H647" s="35">
        <f>IF($F647="","",$F647*$G647/100)</f>
        <v/>
      </c>
      <c r="I647" s="18" t="n"/>
      <c r="J647" s="35">
        <f>IF($F647="","",$H647*$I647/100)</f>
        <v/>
      </c>
      <c r="K647" s="18" t="n"/>
      <c r="L647" s="35">
        <f>IF($F647="","",$F647*$K647/100)</f>
        <v/>
      </c>
      <c r="M647" s="20">
        <f>IF($A647="","",ROUNDUP(MONTH($A647)/3,0))</f>
        <v/>
      </c>
    </row>
    <row r="648">
      <c r="A648" s="33" t="n"/>
      <c r="B648" s="16" t="n"/>
      <c r="C648" s="16" t="n"/>
      <c r="D648" s="16" t="n"/>
      <c r="E648" s="16" t="n"/>
      <c r="F648" s="34" t="n"/>
      <c r="G648" s="18" t="n"/>
      <c r="H648" s="35">
        <f>IF($F648="","",$F648*$G648/100)</f>
        <v/>
      </c>
      <c r="I648" s="18" t="n"/>
      <c r="J648" s="35">
        <f>IF($F648="","",$H648*$I648/100)</f>
        <v/>
      </c>
      <c r="K648" s="18" t="n"/>
      <c r="L648" s="35">
        <f>IF($F648="","",$F648*$K648/100)</f>
        <v/>
      </c>
      <c r="M648" s="20">
        <f>IF($A648="","",ROUNDUP(MONTH($A648)/3,0))</f>
        <v/>
      </c>
    </row>
    <row r="649">
      <c r="A649" s="33" t="n"/>
      <c r="B649" s="16" t="n"/>
      <c r="C649" s="16" t="n"/>
      <c r="D649" s="16" t="n"/>
      <c r="E649" s="16" t="n"/>
      <c r="F649" s="34" t="n"/>
      <c r="G649" s="18" t="n"/>
      <c r="H649" s="35">
        <f>IF($F649="","",$F649*$G649/100)</f>
        <v/>
      </c>
      <c r="I649" s="18" t="n"/>
      <c r="J649" s="35">
        <f>IF($F649="","",$H649*$I649/100)</f>
        <v/>
      </c>
      <c r="K649" s="18" t="n"/>
      <c r="L649" s="35">
        <f>IF($F649="","",$F649*$K649/100)</f>
        <v/>
      </c>
      <c r="M649" s="20">
        <f>IF($A649="","",ROUNDUP(MONTH($A649)/3,0))</f>
        <v/>
      </c>
    </row>
    <row r="650">
      <c r="A650" s="33" t="n"/>
      <c r="B650" s="16" t="n"/>
      <c r="C650" s="16" t="n"/>
      <c r="D650" s="16" t="n"/>
      <c r="E650" s="16" t="n"/>
      <c r="F650" s="34" t="n"/>
      <c r="G650" s="18" t="n"/>
      <c r="H650" s="35">
        <f>IF($F650="","",$F650*$G650/100)</f>
        <v/>
      </c>
      <c r="I650" s="18" t="n"/>
      <c r="J650" s="35">
        <f>IF($F650="","",$H650*$I650/100)</f>
        <v/>
      </c>
      <c r="K650" s="18" t="n"/>
      <c r="L650" s="35">
        <f>IF($F650="","",$F650*$K650/100)</f>
        <v/>
      </c>
      <c r="M650" s="20">
        <f>IF($A650="","",ROUNDUP(MONTH($A650)/3,0))</f>
        <v/>
      </c>
    </row>
    <row r="651">
      <c r="A651" s="33" t="n"/>
      <c r="B651" s="16" t="n"/>
      <c r="C651" s="16" t="n"/>
      <c r="D651" s="16" t="n"/>
      <c r="E651" s="16" t="n"/>
      <c r="F651" s="34" t="n"/>
      <c r="G651" s="18" t="n"/>
      <c r="H651" s="35">
        <f>IF($F651="","",$F651*$G651/100)</f>
        <v/>
      </c>
      <c r="I651" s="18" t="n"/>
      <c r="J651" s="35">
        <f>IF($F651="","",$H651*$I651/100)</f>
        <v/>
      </c>
      <c r="K651" s="18" t="n"/>
      <c r="L651" s="35">
        <f>IF($F651="","",$F651*$K651/100)</f>
        <v/>
      </c>
      <c r="M651" s="20">
        <f>IF($A651="","",ROUNDUP(MONTH($A651)/3,0))</f>
        <v/>
      </c>
    </row>
    <row r="652">
      <c r="A652" s="33" t="n"/>
      <c r="B652" s="16" t="n"/>
      <c r="C652" s="16" t="n"/>
      <c r="D652" s="16" t="n"/>
      <c r="E652" s="16" t="n"/>
      <c r="F652" s="34" t="n"/>
      <c r="G652" s="18" t="n"/>
      <c r="H652" s="35">
        <f>IF($F652="","",$F652*$G652/100)</f>
        <v/>
      </c>
      <c r="I652" s="18" t="n"/>
      <c r="J652" s="35">
        <f>IF($F652="","",$H652*$I652/100)</f>
        <v/>
      </c>
      <c r="K652" s="18" t="n"/>
      <c r="L652" s="35">
        <f>IF($F652="","",$F652*$K652/100)</f>
        <v/>
      </c>
      <c r="M652" s="20">
        <f>IF($A652="","",ROUNDUP(MONTH($A652)/3,0))</f>
        <v/>
      </c>
    </row>
    <row r="653">
      <c r="A653" s="33" t="n"/>
      <c r="B653" s="16" t="n"/>
      <c r="C653" s="16" t="n"/>
      <c r="D653" s="16" t="n"/>
      <c r="E653" s="16" t="n"/>
      <c r="F653" s="34" t="n"/>
      <c r="G653" s="18" t="n"/>
      <c r="H653" s="35">
        <f>IF($F653="","",$F653*$G653/100)</f>
        <v/>
      </c>
      <c r="I653" s="18" t="n"/>
      <c r="J653" s="35">
        <f>IF($F653="","",$H653*$I653/100)</f>
        <v/>
      </c>
      <c r="K653" s="18" t="n"/>
      <c r="L653" s="35">
        <f>IF($F653="","",$F653*$K653/100)</f>
        <v/>
      </c>
      <c r="M653" s="20">
        <f>IF($A653="","",ROUNDUP(MONTH($A653)/3,0))</f>
        <v/>
      </c>
    </row>
    <row r="654">
      <c r="A654" s="33" t="n"/>
      <c r="B654" s="16" t="n"/>
      <c r="C654" s="16" t="n"/>
      <c r="D654" s="16" t="n"/>
      <c r="E654" s="16" t="n"/>
      <c r="F654" s="34" t="n"/>
      <c r="G654" s="18" t="n"/>
      <c r="H654" s="35">
        <f>IF($F654="","",$F654*$G654/100)</f>
        <v/>
      </c>
      <c r="I654" s="18" t="n"/>
      <c r="J654" s="35">
        <f>IF($F654="","",$H654*$I654/100)</f>
        <v/>
      </c>
      <c r="K654" s="18" t="n"/>
      <c r="L654" s="35">
        <f>IF($F654="","",$F654*$K654/100)</f>
        <v/>
      </c>
      <c r="M654" s="20">
        <f>IF($A654="","",ROUNDUP(MONTH($A654)/3,0))</f>
        <v/>
      </c>
    </row>
    <row r="655">
      <c r="A655" s="33" t="n"/>
      <c r="B655" s="16" t="n"/>
      <c r="C655" s="16" t="n"/>
      <c r="D655" s="16" t="n"/>
      <c r="E655" s="16" t="n"/>
      <c r="F655" s="34" t="n"/>
      <c r="G655" s="18" t="n"/>
      <c r="H655" s="35">
        <f>IF($F655="","",$F655*$G655/100)</f>
        <v/>
      </c>
      <c r="I655" s="18" t="n"/>
      <c r="J655" s="35">
        <f>IF($F655="","",$H655*$I655/100)</f>
        <v/>
      </c>
      <c r="K655" s="18" t="n"/>
      <c r="L655" s="35">
        <f>IF($F655="","",$F655*$K655/100)</f>
        <v/>
      </c>
      <c r="M655" s="20">
        <f>IF($A655="","",ROUNDUP(MONTH($A655)/3,0))</f>
        <v/>
      </c>
    </row>
    <row r="656">
      <c r="A656" s="33" t="n"/>
      <c r="B656" s="16" t="n"/>
      <c r="C656" s="16" t="n"/>
      <c r="D656" s="16" t="n"/>
      <c r="E656" s="16" t="n"/>
      <c r="F656" s="34" t="n"/>
      <c r="G656" s="18" t="n"/>
      <c r="H656" s="35">
        <f>IF($F656="","",$F656*$G656/100)</f>
        <v/>
      </c>
      <c r="I656" s="18" t="n"/>
      <c r="J656" s="35">
        <f>IF($F656="","",$H656*$I656/100)</f>
        <v/>
      </c>
      <c r="K656" s="18" t="n"/>
      <c r="L656" s="35">
        <f>IF($F656="","",$F656*$K656/100)</f>
        <v/>
      </c>
      <c r="M656" s="20">
        <f>IF($A656="","",ROUNDUP(MONTH($A656)/3,0))</f>
        <v/>
      </c>
    </row>
    <row r="657">
      <c r="A657" s="33" t="n"/>
      <c r="B657" s="16" t="n"/>
      <c r="C657" s="16" t="n"/>
      <c r="D657" s="16" t="n"/>
      <c r="E657" s="16" t="n"/>
      <c r="F657" s="34" t="n"/>
      <c r="G657" s="18" t="n"/>
      <c r="H657" s="35">
        <f>IF($F657="","",$F657*$G657/100)</f>
        <v/>
      </c>
      <c r="I657" s="18" t="n"/>
      <c r="J657" s="35">
        <f>IF($F657="","",$H657*$I657/100)</f>
        <v/>
      </c>
      <c r="K657" s="18" t="n"/>
      <c r="L657" s="35">
        <f>IF($F657="","",$F657*$K657/100)</f>
        <v/>
      </c>
      <c r="M657" s="20">
        <f>IF($A657="","",ROUNDUP(MONTH($A657)/3,0))</f>
        <v/>
      </c>
    </row>
    <row r="658">
      <c r="A658" s="33" t="n"/>
      <c r="B658" s="16" t="n"/>
      <c r="C658" s="16" t="n"/>
      <c r="D658" s="16" t="n"/>
      <c r="E658" s="16" t="n"/>
      <c r="F658" s="34" t="n"/>
      <c r="G658" s="18" t="n"/>
      <c r="H658" s="35">
        <f>IF($F658="","",$F658*$G658/100)</f>
        <v/>
      </c>
      <c r="I658" s="18" t="n"/>
      <c r="J658" s="35">
        <f>IF($F658="","",$H658*$I658/100)</f>
        <v/>
      </c>
      <c r="K658" s="18" t="n"/>
      <c r="L658" s="35">
        <f>IF($F658="","",$F658*$K658/100)</f>
        <v/>
      </c>
      <c r="M658" s="20">
        <f>IF($A658="","",ROUNDUP(MONTH($A658)/3,0))</f>
        <v/>
      </c>
    </row>
    <row r="659">
      <c r="A659" s="33" t="n"/>
      <c r="B659" s="16" t="n"/>
      <c r="C659" s="16" t="n"/>
      <c r="D659" s="16" t="n"/>
      <c r="E659" s="16" t="n"/>
      <c r="F659" s="34" t="n"/>
      <c r="G659" s="18" t="n"/>
      <c r="H659" s="35">
        <f>IF($F659="","",$F659*$G659/100)</f>
        <v/>
      </c>
      <c r="I659" s="18" t="n"/>
      <c r="J659" s="35">
        <f>IF($F659="","",$H659*$I659/100)</f>
        <v/>
      </c>
      <c r="K659" s="18" t="n"/>
      <c r="L659" s="35">
        <f>IF($F659="","",$F659*$K659/100)</f>
        <v/>
      </c>
      <c r="M659" s="20">
        <f>IF($A659="","",ROUNDUP(MONTH($A659)/3,0))</f>
        <v/>
      </c>
    </row>
    <row r="660">
      <c r="A660" s="33" t="n"/>
      <c r="B660" s="16" t="n"/>
      <c r="C660" s="16" t="n"/>
      <c r="D660" s="16" t="n"/>
      <c r="E660" s="16" t="n"/>
      <c r="F660" s="34" t="n"/>
      <c r="G660" s="18" t="n"/>
      <c r="H660" s="35">
        <f>IF($F660="","",$F660*$G660/100)</f>
        <v/>
      </c>
      <c r="I660" s="18" t="n"/>
      <c r="J660" s="35">
        <f>IF($F660="","",$H660*$I660/100)</f>
        <v/>
      </c>
      <c r="K660" s="18" t="n"/>
      <c r="L660" s="35">
        <f>IF($F660="","",$F660*$K660/100)</f>
        <v/>
      </c>
      <c r="M660" s="20">
        <f>IF($A660="","",ROUNDUP(MONTH($A660)/3,0))</f>
        <v/>
      </c>
    </row>
    <row r="661">
      <c r="A661" s="33" t="n"/>
      <c r="B661" s="16" t="n"/>
      <c r="C661" s="16" t="n"/>
      <c r="D661" s="16" t="n"/>
      <c r="E661" s="16" t="n"/>
      <c r="F661" s="34" t="n"/>
      <c r="G661" s="18" t="n"/>
      <c r="H661" s="35">
        <f>IF($F661="","",$F661*$G661/100)</f>
        <v/>
      </c>
      <c r="I661" s="18" t="n"/>
      <c r="J661" s="35">
        <f>IF($F661="","",$H661*$I661/100)</f>
        <v/>
      </c>
      <c r="K661" s="18" t="n"/>
      <c r="L661" s="35">
        <f>IF($F661="","",$F661*$K661/100)</f>
        <v/>
      </c>
      <c r="M661" s="20">
        <f>IF($A661="","",ROUNDUP(MONTH($A661)/3,0))</f>
        <v/>
      </c>
    </row>
    <row r="662">
      <c r="A662" s="33" t="n"/>
      <c r="B662" s="16" t="n"/>
      <c r="C662" s="16" t="n"/>
      <c r="D662" s="16" t="n"/>
      <c r="E662" s="16" t="n"/>
      <c r="F662" s="34" t="n"/>
      <c r="G662" s="18" t="n"/>
      <c r="H662" s="35">
        <f>IF($F662="","",$F662*$G662/100)</f>
        <v/>
      </c>
      <c r="I662" s="18" t="n"/>
      <c r="J662" s="35">
        <f>IF($F662="","",$H662*$I662/100)</f>
        <v/>
      </c>
      <c r="K662" s="18" t="n"/>
      <c r="L662" s="35">
        <f>IF($F662="","",$F662*$K662/100)</f>
        <v/>
      </c>
      <c r="M662" s="20">
        <f>IF($A662="","",ROUNDUP(MONTH($A662)/3,0))</f>
        <v/>
      </c>
    </row>
    <row r="663">
      <c r="A663" s="33" t="n"/>
      <c r="B663" s="16" t="n"/>
      <c r="C663" s="16" t="n"/>
      <c r="D663" s="16" t="n"/>
      <c r="E663" s="16" t="n"/>
      <c r="F663" s="34" t="n"/>
      <c r="G663" s="18" t="n"/>
      <c r="H663" s="35">
        <f>IF($F663="","",$F663*$G663/100)</f>
        <v/>
      </c>
      <c r="I663" s="18" t="n"/>
      <c r="J663" s="35">
        <f>IF($F663="","",$H663*$I663/100)</f>
        <v/>
      </c>
      <c r="K663" s="18" t="n"/>
      <c r="L663" s="35">
        <f>IF($F663="","",$F663*$K663/100)</f>
        <v/>
      </c>
      <c r="M663" s="20">
        <f>IF($A663="","",ROUNDUP(MONTH($A663)/3,0))</f>
        <v/>
      </c>
    </row>
    <row r="664">
      <c r="A664" s="33" t="n"/>
      <c r="B664" s="16" t="n"/>
      <c r="C664" s="16" t="n"/>
      <c r="D664" s="16" t="n"/>
      <c r="E664" s="16" t="n"/>
      <c r="F664" s="34" t="n"/>
      <c r="G664" s="18" t="n"/>
      <c r="H664" s="35">
        <f>IF($F664="","",$F664*$G664/100)</f>
        <v/>
      </c>
      <c r="I664" s="18" t="n"/>
      <c r="J664" s="35">
        <f>IF($F664="","",$H664*$I664/100)</f>
        <v/>
      </c>
      <c r="K664" s="18" t="n"/>
      <c r="L664" s="35">
        <f>IF($F664="","",$F664*$K664/100)</f>
        <v/>
      </c>
      <c r="M664" s="20">
        <f>IF($A664="","",ROUNDUP(MONTH($A664)/3,0))</f>
        <v/>
      </c>
    </row>
    <row r="665">
      <c r="A665" s="33" t="n"/>
      <c r="B665" s="16" t="n"/>
      <c r="C665" s="16" t="n"/>
      <c r="D665" s="16" t="n"/>
      <c r="E665" s="16" t="n"/>
      <c r="F665" s="34" t="n"/>
      <c r="G665" s="18" t="n"/>
      <c r="H665" s="35">
        <f>IF($F665="","",$F665*$G665/100)</f>
        <v/>
      </c>
      <c r="I665" s="18" t="n"/>
      <c r="J665" s="35">
        <f>IF($F665="","",$H665*$I665/100)</f>
        <v/>
      </c>
      <c r="K665" s="18" t="n"/>
      <c r="L665" s="35">
        <f>IF($F665="","",$F665*$K665/100)</f>
        <v/>
      </c>
      <c r="M665" s="20">
        <f>IF($A665="","",ROUNDUP(MONTH($A665)/3,0))</f>
        <v/>
      </c>
    </row>
    <row r="666">
      <c r="A666" s="33" t="n"/>
      <c r="B666" s="16" t="n"/>
      <c r="C666" s="16" t="n"/>
      <c r="D666" s="16" t="n"/>
      <c r="E666" s="16" t="n"/>
      <c r="F666" s="34" t="n"/>
      <c r="G666" s="18" t="n"/>
      <c r="H666" s="35">
        <f>IF($F666="","",$F666*$G666/100)</f>
        <v/>
      </c>
      <c r="I666" s="18" t="n"/>
      <c r="J666" s="35">
        <f>IF($F666="","",$H666*$I666/100)</f>
        <v/>
      </c>
      <c r="K666" s="18" t="n"/>
      <c r="L666" s="35">
        <f>IF($F666="","",$F666*$K666/100)</f>
        <v/>
      </c>
      <c r="M666" s="20">
        <f>IF($A666="","",ROUNDUP(MONTH($A666)/3,0))</f>
        <v/>
      </c>
    </row>
    <row r="667">
      <c r="A667" s="33" t="n"/>
      <c r="B667" s="16" t="n"/>
      <c r="C667" s="16" t="n"/>
      <c r="D667" s="16" t="n"/>
      <c r="E667" s="16" t="n"/>
      <c r="F667" s="34" t="n"/>
      <c r="G667" s="18" t="n"/>
      <c r="H667" s="35">
        <f>IF($F667="","",$F667*$G667/100)</f>
        <v/>
      </c>
      <c r="I667" s="18" t="n"/>
      <c r="J667" s="35">
        <f>IF($F667="","",$H667*$I667/100)</f>
        <v/>
      </c>
      <c r="K667" s="18" t="n"/>
      <c r="L667" s="35">
        <f>IF($F667="","",$F667*$K667/100)</f>
        <v/>
      </c>
      <c r="M667" s="20">
        <f>IF($A667="","",ROUNDUP(MONTH($A667)/3,0))</f>
        <v/>
      </c>
    </row>
    <row r="668">
      <c r="A668" s="33" t="n"/>
      <c r="B668" s="16" t="n"/>
      <c r="C668" s="16" t="n"/>
      <c r="D668" s="16" t="n"/>
      <c r="E668" s="16" t="n"/>
      <c r="F668" s="34" t="n"/>
      <c r="G668" s="18" t="n"/>
      <c r="H668" s="35">
        <f>IF($F668="","",$F668*$G668/100)</f>
        <v/>
      </c>
      <c r="I668" s="18" t="n"/>
      <c r="J668" s="35">
        <f>IF($F668="","",$H668*$I668/100)</f>
        <v/>
      </c>
      <c r="K668" s="18" t="n"/>
      <c r="L668" s="35">
        <f>IF($F668="","",$F668*$K668/100)</f>
        <v/>
      </c>
      <c r="M668" s="20">
        <f>IF($A668="","",ROUNDUP(MONTH($A668)/3,0))</f>
        <v/>
      </c>
    </row>
    <row r="669">
      <c r="A669" s="33" t="n"/>
      <c r="B669" s="16" t="n"/>
      <c r="C669" s="16" t="n"/>
      <c r="D669" s="16" t="n"/>
      <c r="E669" s="16" t="n"/>
      <c r="F669" s="34" t="n"/>
      <c r="G669" s="18" t="n"/>
      <c r="H669" s="35">
        <f>IF($F669="","",$F669*$G669/100)</f>
        <v/>
      </c>
      <c r="I669" s="18" t="n"/>
      <c r="J669" s="35">
        <f>IF($F669="","",$H669*$I669/100)</f>
        <v/>
      </c>
      <c r="K669" s="18" t="n"/>
      <c r="L669" s="35">
        <f>IF($F669="","",$F669*$K669/100)</f>
        <v/>
      </c>
      <c r="M669" s="20">
        <f>IF($A669="","",ROUNDUP(MONTH($A669)/3,0))</f>
        <v/>
      </c>
    </row>
    <row r="670">
      <c r="A670" s="33" t="n"/>
      <c r="B670" s="16" t="n"/>
      <c r="C670" s="16" t="n"/>
      <c r="D670" s="16" t="n"/>
      <c r="E670" s="16" t="n"/>
      <c r="F670" s="34" t="n"/>
      <c r="G670" s="18" t="n"/>
      <c r="H670" s="35">
        <f>IF($F670="","",$F670*$G670/100)</f>
        <v/>
      </c>
      <c r="I670" s="18" t="n"/>
      <c r="J670" s="35">
        <f>IF($F670="","",$H670*$I670/100)</f>
        <v/>
      </c>
      <c r="K670" s="18" t="n"/>
      <c r="L670" s="35">
        <f>IF($F670="","",$F670*$K670/100)</f>
        <v/>
      </c>
      <c r="M670" s="20">
        <f>IF($A670="","",ROUNDUP(MONTH($A670)/3,0))</f>
        <v/>
      </c>
    </row>
    <row r="671">
      <c r="A671" s="33" t="n"/>
      <c r="B671" s="16" t="n"/>
      <c r="C671" s="16" t="n"/>
      <c r="D671" s="16" t="n"/>
      <c r="E671" s="16" t="n"/>
      <c r="F671" s="34" t="n"/>
      <c r="G671" s="18" t="n"/>
      <c r="H671" s="35">
        <f>IF($F671="","",$F671*$G671/100)</f>
        <v/>
      </c>
      <c r="I671" s="18" t="n"/>
      <c r="J671" s="35">
        <f>IF($F671="","",$H671*$I671/100)</f>
        <v/>
      </c>
      <c r="K671" s="18" t="n"/>
      <c r="L671" s="35">
        <f>IF($F671="","",$F671*$K671/100)</f>
        <v/>
      </c>
      <c r="M671" s="20">
        <f>IF($A671="","",ROUNDUP(MONTH($A671)/3,0))</f>
        <v/>
      </c>
    </row>
    <row r="672">
      <c r="A672" s="33" t="n"/>
      <c r="B672" s="16" t="n"/>
      <c r="C672" s="16" t="n"/>
      <c r="D672" s="16" t="n"/>
      <c r="E672" s="16" t="n"/>
      <c r="F672" s="34" t="n"/>
      <c r="G672" s="18" t="n"/>
      <c r="H672" s="35">
        <f>IF($F672="","",$F672*$G672/100)</f>
        <v/>
      </c>
      <c r="I672" s="18" t="n"/>
      <c r="J672" s="35">
        <f>IF($F672="","",$H672*$I672/100)</f>
        <v/>
      </c>
      <c r="K672" s="18" t="n"/>
      <c r="L672" s="35">
        <f>IF($F672="","",$F672*$K672/100)</f>
        <v/>
      </c>
      <c r="M672" s="20">
        <f>IF($A672="","",ROUNDUP(MONTH($A672)/3,0))</f>
        <v/>
      </c>
    </row>
    <row r="673">
      <c r="A673" s="33" t="n"/>
      <c r="B673" s="16" t="n"/>
      <c r="C673" s="16" t="n"/>
      <c r="D673" s="16" t="n"/>
      <c r="E673" s="16" t="n"/>
      <c r="F673" s="34" t="n"/>
      <c r="G673" s="18" t="n"/>
      <c r="H673" s="35">
        <f>IF($F673="","",$F673*$G673/100)</f>
        <v/>
      </c>
      <c r="I673" s="18" t="n"/>
      <c r="J673" s="35">
        <f>IF($F673="","",$H673*$I673/100)</f>
        <v/>
      </c>
      <c r="K673" s="18" t="n"/>
      <c r="L673" s="35">
        <f>IF($F673="","",$F673*$K673/100)</f>
        <v/>
      </c>
      <c r="M673" s="20">
        <f>IF($A673="","",ROUNDUP(MONTH($A673)/3,0))</f>
        <v/>
      </c>
    </row>
    <row r="674">
      <c r="A674" s="33" t="n"/>
      <c r="B674" s="16" t="n"/>
      <c r="C674" s="16" t="n"/>
      <c r="D674" s="16" t="n"/>
      <c r="E674" s="16" t="n"/>
      <c r="F674" s="34" t="n"/>
      <c r="G674" s="18" t="n"/>
      <c r="H674" s="35">
        <f>IF($F674="","",$F674*$G674/100)</f>
        <v/>
      </c>
      <c r="I674" s="18" t="n"/>
      <c r="J674" s="35">
        <f>IF($F674="","",$H674*$I674/100)</f>
        <v/>
      </c>
      <c r="K674" s="18" t="n"/>
      <c r="L674" s="35">
        <f>IF($F674="","",$F674*$K674/100)</f>
        <v/>
      </c>
      <c r="M674" s="20">
        <f>IF($A674="","",ROUNDUP(MONTH($A674)/3,0))</f>
        <v/>
      </c>
    </row>
    <row r="675">
      <c r="A675" s="33" t="n"/>
      <c r="B675" s="16" t="n"/>
      <c r="C675" s="16" t="n"/>
      <c r="D675" s="16" t="n"/>
      <c r="E675" s="16" t="n"/>
      <c r="F675" s="34" t="n"/>
      <c r="G675" s="18" t="n"/>
      <c r="H675" s="35">
        <f>IF($F675="","",$F675*$G675/100)</f>
        <v/>
      </c>
      <c r="I675" s="18" t="n"/>
      <c r="J675" s="35">
        <f>IF($F675="","",$H675*$I675/100)</f>
        <v/>
      </c>
      <c r="K675" s="18" t="n"/>
      <c r="L675" s="35">
        <f>IF($F675="","",$F675*$K675/100)</f>
        <v/>
      </c>
      <c r="M675" s="20">
        <f>IF($A675="","",ROUNDUP(MONTH($A675)/3,0))</f>
        <v/>
      </c>
    </row>
    <row r="676">
      <c r="A676" s="33" t="n"/>
      <c r="B676" s="16" t="n"/>
      <c r="C676" s="16" t="n"/>
      <c r="D676" s="16" t="n"/>
      <c r="E676" s="16" t="n"/>
      <c r="F676" s="34" t="n"/>
      <c r="G676" s="18" t="n"/>
      <c r="H676" s="35">
        <f>IF($F676="","",$F676*$G676/100)</f>
        <v/>
      </c>
      <c r="I676" s="18" t="n"/>
      <c r="J676" s="35">
        <f>IF($F676="","",$H676*$I676/100)</f>
        <v/>
      </c>
      <c r="K676" s="18" t="n"/>
      <c r="L676" s="35">
        <f>IF($F676="","",$F676*$K676/100)</f>
        <v/>
      </c>
      <c r="M676" s="20">
        <f>IF($A676="","",ROUNDUP(MONTH($A676)/3,0))</f>
        <v/>
      </c>
    </row>
    <row r="677">
      <c r="A677" s="33" t="n"/>
      <c r="B677" s="16" t="n"/>
      <c r="C677" s="16" t="n"/>
      <c r="D677" s="16" t="n"/>
      <c r="E677" s="16" t="n"/>
      <c r="F677" s="34" t="n"/>
      <c r="G677" s="18" t="n"/>
      <c r="H677" s="35">
        <f>IF($F677="","",$F677*$G677/100)</f>
        <v/>
      </c>
      <c r="I677" s="18" t="n"/>
      <c r="J677" s="35">
        <f>IF($F677="","",$H677*$I677/100)</f>
        <v/>
      </c>
      <c r="K677" s="18" t="n"/>
      <c r="L677" s="35">
        <f>IF($F677="","",$F677*$K677/100)</f>
        <v/>
      </c>
      <c r="M677" s="20">
        <f>IF($A677="","",ROUNDUP(MONTH($A677)/3,0))</f>
        <v/>
      </c>
    </row>
    <row r="678">
      <c r="A678" s="33" t="n"/>
      <c r="B678" s="16" t="n"/>
      <c r="C678" s="16" t="n"/>
      <c r="D678" s="16" t="n"/>
      <c r="E678" s="16" t="n"/>
      <c r="F678" s="34" t="n"/>
      <c r="G678" s="18" t="n"/>
      <c r="H678" s="35">
        <f>IF($F678="","",$F678*$G678/100)</f>
        <v/>
      </c>
      <c r="I678" s="18" t="n"/>
      <c r="J678" s="35">
        <f>IF($F678="","",$H678*$I678/100)</f>
        <v/>
      </c>
      <c r="K678" s="18" t="n"/>
      <c r="L678" s="35">
        <f>IF($F678="","",$F678*$K678/100)</f>
        <v/>
      </c>
      <c r="M678" s="20">
        <f>IF($A678="","",ROUNDUP(MONTH($A678)/3,0))</f>
        <v/>
      </c>
    </row>
    <row r="679">
      <c r="A679" s="33" t="n"/>
      <c r="B679" s="16" t="n"/>
      <c r="C679" s="16" t="n"/>
      <c r="D679" s="16" t="n"/>
      <c r="E679" s="16" t="n"/>
      <c r="F679" s="34" t="n"/>
      <c r="G679" s="18" t="n"/>
      <c r="H679" s="35">
        <f>IF($F679="","",$F679*$G679/100)</f>
        <v/>
      </c>
      <c r="I679" s="18" t="n"/>
      <c r="J679" s="35">
        <f>IF($F679="","",$H679*$I679/100)</f>
        <v/>
      </c>
      <c r="K679" s="18" t="n"/>
      <c r="L679" s="35">
        <f>IF($F679="","",$F679*$K679/100)</f>
        <v/>
      </c>
      <c r="M679" s="20">
        <f>IF($A679="","",ROUNDUP(MONTH($A679)/3,0))</f>
        <v/>
      </c>
    </row>
    <row r="680">
      <c r="A680" s="33" t="n"/>
      <c r="B680" s="16" t="n"/>
      <c r="C680" s="16" t="n"/>
      <c r="D680" s="16" t="n"/>
      <c r="E680" s="16" t="n"/>
      <c r="F680" s="34" t="n"/>
      <c r="G680" s="18" t="n"/>
      <c r="H680" s="35">
        <f>IF($F680="","",$F680*$G680/100)</f>
        <v/>
      </c>
      <c r="I680" s="18" t="n"/>
      <c r="J680" s="35">
        <f>IF($F680="","",$H680*$I680/100)</f>
        <v/>
      </c>
      <c r="K680" s="18" t="n"/>
      <c r="L680" s="35">
        <f>IF($F680="","",$F680*$K680/100)</f>
        <v/>
      </c>
      <c r="M680" s="20">
        <f>IF($A680="","",ROUNDUP(MONTH($A680)/3,0))</f>
        <v/>
      </c>
    </row>
    <row r="681">
      <c r="A681" s="33" t="n"/>
      <c r="B681" s="16" t="n"/>
      <c r="C681" s="16" t="n"/>
      <c r="D681" s="16" t="n"/>
      <c r="E681" s="16" t="n"/>
      <c r="F681" s="34" t="n"/>
      <c r="G681" s="18" t="n"/>
      <c r="H681" s="35">
        <f>IF($F681="","",$F681*$G681/100)</f>
        <v/>
      </c>
      <c r="I681" s="18" t="n"/>
      <c r="J681" s="35">
        <f>IF($F681="","",$H681*$I681/100)</f>
        <v/>
      </c>
      <c r="K681" s="18" t="n"/>
      <c r="L681" s="35">
        <f>IF($F681="","",$F681*$K681/100)</f>
        <v/>
      </c>
      <c r="M681" s="20">
        <f>IF($A681="","",ROUNDUP(MONTH($A681)/3,0))</f>
        <v/>
      </c>
    </row>
    <row r="682">
      <c r="A682" s="33" t="n"/>
      <c r="B682" s="16" t="n"/>
      <c r="C682" s="16" t="n"/>
      <c r="D682" s="16" t="n"/>
      <c r="E682" s="16" t="n"/>
      <c r="F682" s="34" t="n"/>
      <c r="G682" s="18" t="n"/>
      <c r="H682" s="35">
        <f>IF($F682="","",$F682*$G682/100)</f>
        <v/>
      </c>
      <c r="I682" s="18" t="n"/>
      <c r="J682" s="35">
        <f>IF($F682="","",$H682*$I682/100)</f>
        <v/>
      </c>
      <c r="K682" s="18" t="n"/>
      <c r="L682" s="35">
        <f>IF($F682="","",$F682*$K682/100)</f>
        <v/>
      </c>
      <c r="M682" s="20">
        <f>IF($A682="","",ROUNDUP(MONTH($A682)/3,0))</f>
        <v/>
      </c>
    </row>
    <row r="683">
      <c r="A683" s="33" t="n"/>
      <c r="B683" s="16" t="n"/>
      <c r="C683" s="16" t="n"/>
      <c r="D683" s="16" t="n"/>
      <c r="E683" s="16" t="n"/>
      <c r="F683" s="34" t="n"/>
      <c r="G683" s="18" t="n"/>
      <c r="H683" s="35">
        <f>IF($F683="","",$F683*$G683/100)</f>
        <v/>
      </c>
      <c r="I683" s="18" t="n"/>
      <c r="J683" s="35">
        <f>IF($F683="","",$H683*$I683/100)</f>
        <v/>
      </c>
      <c r="K683" s="18" t="n"/>
      <c r="L683" s="35">
        <f>IF($F683="","",$F683*$K683/100)</f>
        <v/>
      </c>
      <c r="M683" s="20">
        <f>IF($A683="","",ROUNDUP(MONTH($A683)/3,0))</f>
        <v/>
      </c>
    </row>
    <row r="684">
      <c r="A684" s="33" t="n"/>
      <c r="B684" s="16" t="n"/>
      <c r="C684" s="16" t="n"/>
      <c r="D684" s="16" t="n"/>
      <c r="E684" s="16" t="n"/>
      <c r="F684" s="34" t="n"/>
      <c r="G684" s="18" t="n"/>
      <c r="H684" s="35">
        <f>IF($F684="","",$F684*$G684/100)</f>
        <v/>
      </c>
      <c r="I684" s="18" t="n"/>
      <c r="J684" s="35">
        <f>IF($F684="","",$H684*$I684/100)</f>
        <v/>
      </c>
      <c r="K684" s="18" t="n"/>
      <c r="L684" s="35">
        <f>IF($F684="","",$F684*$K684/100)</f>
        <v/>
      </c>
      <c r="M684" s="20">
        <f>IF($A684="","",ROUNDUP(MONTH($A684)/3,0))</f>
        <v/>
      </c>
    </row>
    <row r="685">
      <c r="A685" s="33" t="n"/>
      <c r="B685" s="16" t="n"/>
      <c r="C685" s="16" t="n"/>
      <c r="D685" s="16" t="n"/>
      <c r="E685" s="16" t="n"/>
      <c r="F685" s="34" t="n"/>
      <c r="G685" s="18" t="n"/>
      <c r="H685" s="35">
        <f>IF($F685="","",$F685*$G685/100)</f>
        <v/>
      </c>
      <c r="I685" s="18" t="n"/>
      <c r="J685" s="35">
        <f>IF($F685="","",$H685*$I685/100)</f>
        <v/>
      </c>
      <c r="K685" s="18" t="n"/>
      <c r="L685" s="35">
        <f>IF($F685="","",$F685*$K685/100)</f>
        <v/>
      </c>
      <c r="M685" s="20">
        <f>IF($A685="","",ROUNDUP(MONTH($A685)/3,0))</f>
        <v/>
      </c>
    </row>
    <row r="686">
      <c r="A686" s="33" t="n"/>
      <c r="B686" s="16" t="n"/>
      <c r="C686" s="16" t="n"/>
      <c r="D686" s="16" t="n"/>
      <c r="E686" s="16" t="n"/>
      <c r="F686" s="34" t="n"/>
      <c r="G686" s="18" t="n"/>
      <c r="H686" s="35">
        <f>IF($F686="","",$F686*$G686/100)</f>
        <v/>
      </c>
      <c r="I686" s="18" t="n"/>
      <c r="J686" s="35">
        <f>IF($F686="","",$H686*$I686/100)</f>
        <v/>
      </c>
      <c r="K686" s="18" t="n"/>
      <c r="L686" s="35">
        <f>IF($F686="","",$F686*$K686/100)</f>
        <v/>
      </c>
      <c r="M686" s="20">
        <f>IF($A686="","",ROUNDUP(MONTH($A686)/3,0))</f>
        <v/>
      </c>
    </row>
    <row r="687">
      <c r="A687" s="33" t="n"/>
      <c r="B687" s="16" t="n"/>
      <c r="C687" s="16" t="n"/>
      <c r="D687" s="16" t="n"/>
      <c r="E687" s="16" t="n"/>
      <c r="F687" s="34" t="n"/>
      <c r="G687" s="18" t="n"/>
      <c r="H687" s="35">
        <f>IF($F687="","",$F687*$G687/100)</f>
        <v/>
      </c>
      <c r="I687" s="18" t="n"/>
      <c r="J687" s="35">
        <f>IF($F687="","",$H687*$I687/100)</f>
        <v/>
      </c>
      <c r="K687" s="18" t="n"/>
      <c r="L687" s="35">
        <f>IF($F687="","",$F687*$K687/100)</f>
        <v/>
      </c>
      <c r="M687" s="20">
        <f>IF($A687="","",ROUNDUP(MONTH($A687)/3,0))</f>
        <v/>
      </c>
    </row>
    <row r="688">
      <c r="A688" s="33" t="n"/>
      <c r="B688" s="16" t="n"/>
      <c r="C688" s="16" t="n"/>
      <c r="D688" s="16" t="n"/>
      <c r="E688" s="16" t="n"/>
      <c r="F688" s="34" t="n"/>
      <c r="G688" s="18" t="n"/>
      <c r="H688" s="35">
        <f>IF($F688="","",$F688*$G688/100)</f>
        <v/>
      </c>
      <c r="I688" s="18" t="n"/>
      <c r="J688" s="35">
        <f>IF($F688="","",$H688*$I688/100)</f>
        <v/>
      </c>
      <c r="K688" s="18" t="n"/>
      <c r="L688" s="35">
        <f>IF($F688="","",$F688*$K688/100)</f>
        <v/>
      </c>
      <c r="M688" s="20">
        <f>IF($A688="","",ROUNDUP(MONTH($A688)/3,0))</f>
        <v/>
      </c>
    </row>
    <row r="689">
      <c r="A689" s="33" t="n"/>
      <c r="B689" s="16" t="n"/>
      <c r="C689" s="16" t="n"/>
      <c r="D689" s="16" t="n"/>
      <c r="E689" s="16" t="n"/>
      <c r="F689" s="34" t="n"/>
      <c r="G689" s="18" t="n"/>
      <c r="H689" s="35">
        <f>IF($F689="","",$F689*$G689/100)</f>
        <v/>
      </c>
      <c r="I689" s="18" t="n"/>
      <c r="J689" s="35">
        <f>IF($F689="","",$H689*$I689/100)</f>
        <v/>
      </c>
      <c r="K689" s="18" t="n"/>
      <c r="L689" s="35">
        <f>IF($F689="","",$F689*$K689/100)</f>
        <v/>
      </c>
      <c r="M689" s="20">
        <f>IF($A689="","",ROUNDUP(MONTH($A689)/3,0))</f>
        <v/>
      </c>
    </row>
    <row r="690">
      <c r="A690" s="33" t="n"/>
      <c r="B690" s="16" t="n"/>
      <c r="C690" s="16" t="n"/>
      <c r="D690" s="16" t="n"/>
      <c r="E690" s="16" t="n"/>
      <c r="F690" s="34" t="n"/>
      <c r="G690" s="18" t="n"/>
      <c r="H690" s="35">
        <f>IF($F690="","",$F690*$G690/100)</f>
        <v/>
      </c>
      <c r="I690" s="18" t="n"/>
      <c r="J690" s="35">
        <f>IF($F690="","",$H690*$I690/100)</f>
        <v/>
      </c>
      <c r="K690" s="18" t="n"/>
      <c r="L690" s="35">
        <f>IF($F690="","",$F690*$K690/100)</f>
        <v/>
      </c>
      <c r="M690" s="20">
        <f>IF($A690="","",ROUNDUP(MONTH($A690)/3,0))</f>
        <v/>
      </c>
    </row>
    <row r="691">
      <c r="A691" s="33" t="n"/>
      <c r="B691" s="16" t="n"/>
      <c r="C691" s="16" t="n"/>
      <c r="D691" s="16" t="n"/>
      <c r="E691" s="16" t="n"/>
      <c r="F691" s="34" t="n"/>
      <c r="G691" s="18" t="n"/>
      <c r="H691" s="35">
        <f>IF($F691="","",$F691*$G691/100)</f>
        <v/>
      </c>
      <c r="I691" s="18" t="n"/>
      <c r="J691" s="35">
        <f>IF($F691="","",$H691*$I691/100)</f>
        <v/>
      </c>
      <c r="K691" s="18" t="n"/>
      <c r="L691" s="35">
        <f>IF($F691="","",$F691*$K691/100)</f>
        <v/>
      </c>
      <c r="M691" s="20">
        <f>IF($A691="","",ROUNDUP(MONTH($A691)/3,0))</f>
        <v/>
      </c>
    </row>
    <row r="692">
      <c r="A692" s="33" t="n"/>
      <c r="B692" s="16" t="n"/>
      <c r="C692" s="16" t="n"/>
      <c r="D692" s="16" t="n"/>
      <c r="E692" s="16" t="n"/>
      <c r="F692" s="34" t="n"/>
      <c r="G692" s="18" t="n"/>
      <c r="H692" s="35">
        <f>IF($F692="","",$F692*$G692/100)</f>
        <v/>
      </c>
      <c r="I692" s="18" t="n"/>
      <c r="J692" s="35">
        <f>IF($F692="","",$H692*$I692/100)</f>
        <v/>
      </c>
      <c r="K692" s="18" t="n"/>
      <c r="L692" s="35">
        <f>IF($F692="","",$F692*$K692/100)</f>
        <v/>
      </c>
      <c r="M692" s="20">
        <f>IF($A692="","",ROUNDUP(MONTH($A692)/3,0))</f>
        <v/>
      </c>
    </row>
    <row r="693">
      <c r="A693" s="33" t="n"/>
      <c r="B693" s="16" t="n"/>
      <c r="C693" s="16" t="n"/>
      <c r="D693" s="16" t="n"/>
      <c r="E693" s="16" t="n"/>
      <c r="F693" s="34" t="n"/>
      <c r="G693" s="18" t="n"/>
      <c r="H693" s="35">
        <f>IF($F693="","",$F693*$G693/100)</f>
        <v/>
      </c>
      <c r="I693" s="18" t="n"/>
      <c r="J693" s="35">
        <f>IF($F693="","",$H693*$I693/100)</f>
        <v/>
      </c>
      <c r="K693" s="18" t="n"/>
      <c r="L693" s="35">
        <f>IF($F693="","",$F693*$K693/100)</f>
        <v/>
      </c>
      <c r="M693" s="20">
        <f>IF($A693="","",ROUNDUP(MONTH($A693)/3,0))</f>
        <v/>
      </c>
    </row>
    <row r="694">
      <c r="A694" s="33" t="n"/>
      <c r="B694" s="16" t="n"/>
      <c r="C694" s="16" t="n"/>
      <c r="D694" s="16" t="n"/>
      <c r="E694" s="16" t="n"/>
      <c r="F694" s="34" t="n"/>
      <c r="G694" s="18" t="n"/>
      <c r="H694" s="35">
        <f>IF($F694="","",$F694*$G694/100)</f>
        <v/>
      </c>
      <c r="I694" s="18" t="n"/>
      <c r="J694" s="35">
        <f>IF($F694="","",$H694*$I694/100)</f>
        <v/>
      </c>
      <c r="K694" s="18" t="n"/>
      <c r="L694" s="35">
        <f>IF($F694="","",$F694*$K694/100)</f>
        <v/>
      </c>
      <c r="M694" s="20">
        <f>IF($A694="","",ROUNDUP(MONTH($A694)/3,0))</f>
        <v/>
      </c>
    </row>
    <row r="695">
      <c r="A695" s="33" t="n"/>
      <c r="B695" s="16" t="n"/>
      <c r="C695" s="16" t="n"/>
      <c r="D695" s="16" t="n"/>
      <c r="E695" s="16" t="n"/>
      <c r="F695" s="34" t="n"/>
      <c r="G695" s="18" t="n"/>
      <c r="H695" s="35">
        <f>IF($F695="","",$F695*$G695/100)</f>
        <v/>
      </c>
      <c r="I695" s="18" t="n"/>
      <c r="J695" s="35">
        <f>IF($F695="","",$H695*$I695/100)</f>
        <v/>
      </c>
      <c r="K695" s="18" t="n"/>
      <c r="L695" s="35">
        <f>IF($F695="","",$F695*$K695/100)</f>
        <v/>
      </c>
      <c r="M695" s="20">
        <f>IF($A695="","",ROUNDUP(MONTH($A695)/3,0))</f>
        <v/>
      </c>
    </row>
    <row r="696">
      <c r="A696" s="33" t="n"/>
      <c r="B696" s="16" t="n"/>
      <c r="C696" s="16" t="n"/>
      <c r="D696" s="16" t="n"/>
      <c r="E696" s="16" t="n"/>
      <c r="F696" s="34" t="n"/>
      <c r="G696" s="18" t="n"/>
      <c r="H696" s="35">
        <f>IF($F696="","",$F696*$G696/100)</f>
        <v/>
      </c>
      <c r="I696" s="18" t="n"/>
      <c r="J696" s="35">
        <f>IF($F696="","",$H696*$I696/100)</f>
        <v/>
      </c>
      <c r="K696" s="18" t="n"/>
      <c r="L696" s="35">
        <f>IF($F696="","",$F696*$K696/100)</f>
        <v/>
      </c>
      <c r="M696" s="20">
        <f>IF($A696="","",ROUNDUP(MONTH($A696)/3,0))</f>
        <v/>
      </c>
    </row>
    <row r="697">
      <c r="A697" s="33" t="n"/>
      <c r="B697" s="16" t="n"/>
      <c r="C697" s="16" t="n"/>
      <c r="D697" s="16" t="n"/>
      <c r="E697" s="16" t="n"/>
      <c r="F697" s="34" t="n"/>
      <c r="G697" s="18" t="n"/>
      <c r="H697" s="35">
        <f>IF($F697="","",$F697*$G697/100)</f>
        <v/>
      </c>
      <c r="I697" s="18" t="n"/>
      <c r="J697" s="35">
        <f>IF($F697="","",$H697*$I697/100)</f>
        <v/>
      </c>
      <c r="K697" s="18" t="n"/>
      <c r="L697" s="35">
        <f>IF($F697="","",$F697*$K697/100)</f>
        <v/>
      </c>
      <c r="M697" s="20">
        <f>IF($A697="","",ROUNDUP(MONTH($A697)/3,0))</f>
        <v/>
      </c>
    </row>
    <row r="698">
      <c r="A698" s="33" t="n"/>
      <c r="B698" s="16" t="n"/>
      <c r="C698" s="16" t="n"/>
      <c r="D698" s="16" t="n"/>
      <c r="E698" s="16" t="n"/>
      <c r="F698" s="34" t="n"/>
      <c r="G698" s="18" t="n"/>
      <c r="H698" s="35">
        <f>IF($F698="","",$F698*$G698/100)</f>
        <v/>
      </c>
      <c r="I698" s="18" t="n"/>
      <c r="J698" s="35">
        <f>IF($F698="","",$H698*$I698/100)</f>
        <v/>
      </c>
      <c r="K698" s="18" t="n"/>
      <c r="L698" s="35">
        <f>IF($F698="","",$F698*$K698/100)</f>
        <v/>
      </c>
      <c r="M698" s="20">
        <f>IF($A698="","",ROUNDUP(MONTH($A698)/3,0))</f>
        <v/>
      </c>
    </row>
    <row r="699">
      <c r="A699" s="33" t="n"/>
      <c r="B699" s="16" t="n"/>
      <c r="C699" s="16" t="n"/>
      <c r="D699" s="16" t="n"/>
      <c r="E699" s="16" t="n"/>
      <c r="F699" s="34" t="n"/>
      <c r="G699" s="18" t="n"/>
      <c r="H699" s="35">
        <f>IF($F699="","",$F699*$G699/100)</f>
        <v/>
      </c>
      <c r="I699" s="18" t="n"/>
      <c r="J699" s="35">
        <f>IF($F699="","",$H699*$I699/100)</f>
        <v/>
      </c>
      <c r="K699" s="18" t="n"/>
      <c r="L699" s="35">
        <f>IF($F699="","",$F699*$K699/100)</f>
        <v/>
      </c>
      <c r="M699" s="20">
        <f>IF($A699="","",ROUNDUP(MONTH($A699)/3,0))</f>
        <v/>
      </c>
    </row>
    <row r="700">
      <c r="A700" s="33" t="n"/>
      <c r="B700" s="16" t="n"/>
      <c r="C700" s="16" t="n"/>
      <c r="D700" s="16" t="n"/>
      <c r="E700" s="16" t="n"/>
      <c r="F700" s="34" t="n"/>
      <c r="G700" s="18" t="n"/>
      <c r="H700" s="35">
        <f>IF($F700="","",$F700*$G700/100)</f>
        <v/>
      </c>
      <c r="I700" s="18" t="n"/>
      <c r="J700" s="35">
        <f>IF($F700="","",$H700*$I700/100)</f>
        <v/>
      </c>
      <c r="K700" s="18" t="n"/>
      <c r="L700" s="35">
        <f>IF($F700="","",$F700*$K700/100)</f>
        <v/>
      </c>
      <c r="M700" s="20">
        <f>IF($A700="","",ROUNDUP(MONTH($A700)/3,0))</f>
        <v/>
      </c>
    </row>
    <row r="701">
      <c r="A701" s="33" t="n"/>
      <c r="B701" s="16" t="n"/>
      <c r="C701" s="16" t="n"/>
      <c r="D701" s="16" t="n"/>
      <c r="E701" s="16" t="n"/>
      <c r="F701" s="34" t="n"/>
      <c r="G701" s="18" t="n"/>
      <c r="H701" s="35">
        <f>IF($F701="","",$F701*$G701/100)</f>
        <v/>
      </c>
      <c r="I701" s="18" t="n"/>
      <c r="J701" s="35">
        <f>IF($F701="","",$H701*$I701/100)</f>
        <v/>
      </c>
      <c r="K701" s="18" t="n"/>
      <c r="L701" s="35">
        <f>IF($F701="","",$F701*$K701/100)</f>
        <v/>
      </c>
      <c r="M701" s="20">
        <f>IF($A701="","",ROUNDUP(MONTH($A701)/3,0))</f>
        <v/>
      </c>
    </row>
    <row r="702">
      <c r="A702" s="33" t="n"/>
      <c r="B702" s="16" t="n"/>
      <c r="C702" s="16" t="n"/>
      <c r="D702" s="16" t="n"/>
      <c r="E702" s="16" t="n"/>
      <c r="F702" s="34" t="n"/>
      <c r="G702" s="18" t="n"/>
      <c r="H702" s="35">
        <f>IF($F702="","",$F702*$G702/100)</f>
        <v/>
      </c>
      <c r="I702" s="18" t="n"/>
      <c r="J702" s="35">
        <f>IF($F702="","",$H702*$I702/100)</f>
        <v/>
      </c>
      <c r="K702" s="18" t="n"/>
      <c r="L702" s="35">
        <f>IF($F702="","",$F702*$K702/100)</f>
        <v/>
      </c>
      <c r="M702" s="20">
        <f>IF($A702="","",ROUNDUP(MONTH($A702)/3,0))</f>
        <v/>
      </c>
    </row>
    <row r="703">
      <c r="A703" s="33" t="n"/>
      <c r="B703" s="16" t="n"/>
      <c r="C703" s="16" t="n"/>
      <c r="D703" s="16" t="n"/>
      <c r="E703" s="16" t="n"/>
      <c r="F703" s="34" t="n"/>
      <c r="G703" s="18" t="n"/>
      <c r="H703" s="35">
        <f>IF($F703="","",$F703*$G703/100)</f>
        <v/>
      </c>
      <c r="I703" s="18" t="n"/>
      <c r="J703" s="35">
        <f>IF($F703="","",$H703*$I703/100)</f>
        <v/>
      </c>
      <c r="K703" s="18" t="n"/>
      <c r="L703" s="35">
        <f>IF($F703="","",$F703*$K703/100)</f>
        <v/>
      </c>
      <c r="M703" s="20">
        <f>IF($A703="","",ROUNDUP(MONTH($A703)/3,0))</f>
        <v/>
      </c>
    </row>
    <row r="704">
      <c r="A704" s="33" t="n"/>
      <c r="B704" s="16" t="n"/>
      <c r="C704" s="16" t="n"/>
      <c r="D704" s="16" t="n"/>
      <c r="E704" s="16" t="n"/>
      <c r="F704" s="34" t="n"/>
      <c r="G704" s="18" t="n"/>
      <c r="H704" s="35">
        <f>IF($F704="","",$F704*$G704/100)</f>
        <v/>
      </c>
      <c r="I704" s="18" t="n"/>
      <c r="J704" s="35">
        <f>IF($F704="","",$H704*$I704/100)</f>
        <v/>
      </c>
      <c r="K704" s="18" t="n"/>
      <c r="L704" s="35">
        <f>IF($F704="","",$F704*$K704/100)</f>
        <v/>
      </c>
      <c r="M704" s="20">
        <f>IF($A704="","",ROUNDUP(MONTH($A704)/3,0))</f>
        <v/>
      </c>
    </row>
    <row r="705">
      <c r="A705" s="33" t="n"/>
      <c r="B705" s="16" t="n"/>
      <c r="C705" s="16" t="n"/>
      <c r="D705" s="16" t="n"/>
      <c r="E705" s="16" t="n"/>
      <c r="F705" s="34" t="n"/>
      <c r="G705" s="18" t="n"/>
      <c r="H705" s="35">
        <f>IF($F705="","",$F705*$G705/100)</f>
        <v/>
      </c>
      <c r="I705" s="18" t="n"/>
      <c r="J705" s="35">
        <f>IF($F705="","",$H705*$I705/100)</f>
        <v/>
      </c>
      <c r="K705" s="18" t="n"/>
      <c r="L705" s="35">
        <f>IF($F705="","",$F705*$K705/100)</f>
        <v/>
      </c>
      <c r="M705" s="20">
        <f>IF($A705="","",ROUNDUP(MONTH($A705)/3,0))</f>
        <v/>
      </c>
    </row>
    <row r="706">
      <c r="A706" s="33" t="n"/>
      <c r="B706" s="16" t="n"/>
      <c r="C706" s="16" t="n"/>
      <c r="D706" s="16" t="n"/>
      <c r="E706" s="16" t="n"/>
      <c r="F706" s="34" t="n"/>
      <c r="G706" s="18" t="n"/>
      <c r="H706" s="35">
        <f>IF($F706="","",$F706*$G706/100)</f>
        <v/>
      </c>
      <c r="I706" s="18" t="n"/>
      <c r="J706" s="35">
        <f>IF($F706="","",$H706*$I706/100)</f>
        <v/>
      </c>
      <c r="K706" s="18" t="n"/>
      <c r="L706" s="35">
        <f>IF($F706="","",$F706*$K706/100)</f>
        <v/>
      </c>
      <c r="M706" s="20">
        <f>IF($A706="","",ROUNDUP(MONTH($A706)/3,0))</f>
        <v/>
      </c>
    </row>
    <row r="707">
      <c r="A707" s="33" t="n"/>
      <c r="B707" s="16" t="n"/>
      <c r="C707" s="16" t="n"/>
      <c r="D707" s="16" t="n"/>
      <c r="E707" s="16" t="n"/>
      <c r="F707" s="34" t="n"/>
      <c r="G707" s="18" t="n"/>
      <c r="H707" s="35">
        <f>IF($F707="","",$F707*$G707/100)</f>
        <v/>
      </c>
      <c r="I707" s="18" t="n"/>
      <c r="J707" s="35">
        <f>IF($F707="","",$H707*$I707/100)</f>
        <v/>
      </c>
      <c r="K707" s="18" t="n"/>
      <c r="L707" s="35">
        <f>IF($F707="","",$F707*$K707/100)</f>
        <v/>
      </c>
      <c r="M707" s="20">
        <f>IF($A707="","",ROUNDUP(MONTH($A707)/3,0))</f>
        <v/>
      </c>
    </row>
    <row r="708">
      <c r="A708" s="33" t="n"/>
      <c r="B708" s="16" t="n"/>
      <c r="C708" s="16" t="n"/>
      <c r="D708" s="16" t="n"/>
      <c r="E708" s="16" t="n"/>
      <c r="F708" s="34" t="n"/>
      <c r="G708" s="18" t="n"/>
      <c r="H708" s="35">
        <f>IF($F708="","",$F708*$G708/100)</f>
        <v/>
      </c>
      <c r="I708" s="18" t="n"/>
      <c r="J708" s="35">
        <f>IF($F708="","",$H708*$I708/100)</f>
        <v/>
      </c>
      <c r="K708" s="18" t="n"/>
      <c r="L708" s="35">
        <f>IF($F708="","",$F708*$K708/100)</f>
        <v/>
      </c>
      <c r="M708" s="20">
        <f>IF($A708="","",ROUNDUP(MONTH($A708)/3,0))</f>
        <v/>
      </c>
    </row>
    <row r="709">
      <c r="A709" s="33" t="n"/>
      <c r="B709" s="16" t="n"/>
      <c r="C709" s="16" t="n"/>
      <c r="D709" s="16" t="n"/>
      <c r="E709" s="16" t="n"/>
      <c r="F709" s="34" t="n"/>
      <c r="G709" s="18" t="n"/>
      <c r="H709" s="35">
        <f>IF($F709="","",$F709*$G709/100)</f>
        <v/>
      </c>
      <c r="I709" s="18" t="n"/>
      <c r="J709" s="35">
        <f>IF($F709="","",$H709*$I709/100)</f>
        <v/>
      </c>
      <c r="K709" s="18" t="n"/>
      <c r="L709" s="35">
        <f>IF($F709="","",$F709*$K709/100)</f>
        <v/>
      </c>
      <c r="M709" s="20">
        <f>IF($A709="","",ROUNDUP(MONTH($A709)/3,0))</f>
        <v/>
      </c>
    </row>
    <row r="710">
      <c r="A710" s="33" t="n"/>
      <c r="B710" s="16" t="n"/>
      <c r="C710" s="16" t="n"/>
      <c r="D710" s="16" t="n"/>
      <c r="E710" s="16" t="n"/>
      <c r="F710" s="34" t="n"/>
      <c r="G710" s="18" t="n"/>
      <c r="H710" s="35">
        <f>IF($F710="","",$F710*$G710/100)</f>
        <v/>
      </c>
      <c r="I710" s="18" t="n"/>
      <c r="J710" s="35">
        <f>IF($F710="","",$H710*$I710/100)</f>
        <v/>
      </c>
      <c r="K710" s="18" t="n"/>
      <c r="L710" s="35">
        <f>IF($F710="","",$F710*$K710/100)</f>
        <v/>
      </c>
      <c r="M710" s="20">
        <f>IF($A710="","",ROUNDUP(MONTH($A710)/3,0))</f>
        <v/>
      </c>
    </row>
    <row r="711">
      <c r="A711" s="33" t="n"/>
      <c r="B711" s="16" t="n"/>
      <c r="C711" s="16" t="n"/>
      <c r="D711" s="16" t="n"/>
      <c r="E711" s="16" t="n"/>
      <c r="F711" s="34" t="n"/>
      <c r="G711" s="18" t="n"/>
      <c r="H711" s="35">
        <f>IF($F711="","",$F711*$G711/100)</f>
        <v/>
      </c>
      <c r="I711" s="18" t="n"/>
      <c r="J711" s="35">
        <f>IF($F711="","",$H711*$I711/100)</f>
        <v/>
      </c>
      <c r="K711" s="18" t="n"/>
      <c r="L711" s="35">
        <f>IF($F711="","",$F711*$K711/100)</f>
        <v/>
      </c>
      <c r="M711" s="20">
        <f>IF($A711="","",ROUNDUP(MONTH($A711)/3,0))</f>
        <v/>
      </c>
    </row>
    <row r="712">
      <c r="A712" s="33" t="n"/>
      <c r="B712" s="16" t="n"/>
      <c r="C712" s="16" t="n"/>
      <c r="D712" s="16" t="n"/>
      <c r="E712" s="16" t="n"/>
      <c r="F712" s="34" t="n"/>
      <c r="G712" s="18" t="n"/>
      <c r="H712" s="35">
        <f>IF($F712="","",$F712*$G712/100)</f>
        <v/>
      </c>
      <c r="I712" s="18" t="n"/>
      <c r="J712" s="35">
        <f>IF($F712="","",$H712*$I712/100)</f>
        <v/>
      </c>
      <c r="K712" s="18" t="n"/>
      <c r="L712" s="35">
        <f>IF($F712="","",$F712*$K712/100)</f>
        <v/>
      </c>
      <c r="M712" s="20">
        <f>IF($A712="","",ROUNDUP(MONTH($A712)/3,0))</f>
        <v/>
      </c>
    </row>
    <row r="713">
      <c r="A713" s="33" t="n"/>
      <c r="B713" s="16" t="n"/>
      <c r="C713" s="16" t="n"/>
      <c r="D713" s="16" t="n"/>
      <c r="E713" s="16" t="n"/>
      <c r="F713" s="34" t="n"/>
      <c r="G713" s="18" t="n"/>
      <c r="H713" s="35">
        <f>IF($F713="","",$F713*$G713/100)</f>
        <v/>
      </c>
      <c r="I713" s="18" t="n"/>
      <c r="J713" s="35">
        <f>IF($F713="","",$H713*$I713/100)</f>
        <v/>
      </c>
      <c r="K713" s="18" t="n"/>
      <c r="L713" s="35">
        <f>IF($F713="","",$F713*$K713/100)</f>
        <v/>
      </c>
      <c r="M713" s="20">
        <f>IF($A713="","",ROUNDUP(MONTH($A713)/3,0))</f>
        <v/>
      </c>
    </row>
    <row r="714">
      <c r="A714" s="33" t="n"/>
      <c r="B714" s="16" t="n"/>
      <c r="C714" s="16" t="n"/>
      <c r="D714" s="16" t="n"/>
      <c r="E714" s="16" t="n"/>
      <c r="F714" s="34" t="n"/>
      <c r="G714" s="18" t="n"/>
      <c r="H714" s="35">
        <f>IF($F714="","",$F714*$G714/100)</f>
        <v/>
      </c>
      <c r="I714" s="18" t="n"/>
      <c r="J714" s="35">
        <f>IF($F714="","",$H714*$I714/100)</f>
        <v/>
      </c>
      <c r="K714" s="18" t="n"/>
      <c r="L714" s="35">
        <f>IF($F714="","",$F714*$K714/100)</f>
        <v/>
      </c>
      <c r="M714" s="20">
        <f>IF($A714="","",ROUNDUP(MONTH($A714)/3,0))</f>
        <v/>
      </c>
    </row>
    <row r="715">
      <c r="A715" s="33" t="n"/>
      <c r="B715" s="16" t="n"/>
      <c r="C715" s="16" t="n"/>
      <c r="D715" s="16" t="n"/>
      <c r="E715" s="16" t="n"/>
      <c r="F715" s="34" t="n"/>
      <c r="G715" s="18" t="n"/>
      <c r="H715" s="35">
        <f>IF($F715="","",$F715*$G715/100)</f>
        <v/>
      </c>
      <c r="I715" s="18" t="n"/>
      <c r="J715" s="35">
        <f>IF($F715="","",$H715*$I715/100)</f>
        <v/>
      </c>
      <c r="K715" s="18" t="n"/>
      <c r="L715" s="35">
        <f>IF($F715="","",$F715*$K715/100)</f>
        <v/>
      </c>
      <c r="M715" s="20">
        <f>IF($A715="","",ROUNDUP(MONTH($A715)/3,0))</f>
        <v/>
      </c>
    </row>
    <row r="716">
      <c r="A716" s="33" t="n"/>
      <c r="B716" s="16" t="n"/>
      <c r="C716" s="16" t="n"/>
      <c r="D716" s="16" t="n"/>
      <c r="E716" s="16" t="n"/>
      <c r="F716" s="34" t="n"/>
      <c r="G716" s="18" t="n"/>
      <c r="H716" s="35">
        <f>IF($F716="","",$F716*$G716/100)</f>
        <v/>
      </c>
      <c r="I716" s="18" t="n"/>
      <c r="J716" s="35">
        <f>IF($F716="","",$H716*$I716/100)</f>
        <v/>
      </c>
      <c r="K716" s="18" t="n"/>
      <c r="L716" s="35">
        <f>IF($F716="","",$F716*$K716/100)</f>
        <v/>
      </c>
      <c r="M716" s="20">
        <f>IF($A716="","",ROUNDUP(MONTH($A716)/3,0))</f>
        <v/>
      </c>
    </row>
    <row r="717">
      <c r="A717" s="33" t="n"/>
      <c r="B717" s="16" t="n"/>
      <c r="C717" s="16" t="n"/>
      <c r="D717" s="16" t="n"/>
      <c r="E717" s="16" t="n"/>
      <c r="F717" s="34" t="n"/>
      <c r="G717" s="18" t="n"/>
      <c r="H717" s="35">
        <f>IF($F717="","",$F717*$G717/100)</f>
        <v/>
      </c>
      <c r="I717" s="18" t="n"/>
      <c r="J717" s="35">
        <f>IF($F717="","",$H717*$I717/100)</f>
        <v/>
      </c>
      <c r="K717" s="18" t="n"/>
      <c r="L717" s="35">
        <f>IF($F717="","",$F717*$K717/100)</f>
        <v/>
      </c>
      <c r="M717" s="20">
        <f>IF($A717="","",ROUNDUP(MONTH($A717)/3,0))</f>
        <v/>
      </c>
    </row>
    <row r="718">
      <c r="A718" s="33" t="n"/>
      <c r="B718" s="16" t="n"/>
      <c r="C718" s="16" t="n"/>
      <c r="D718" s="16" t="n"/>
      <c r="E718" s="16" t="n"/>
      <c r="F718" s="34" t="n"/>
      <c r="G718" s="18" t="n"/>
      <c r="H718" s="35">
        <f>IF($F718="","",$F718*$G718/100)</f>
        <v/>
      </c>
      <c r="I718" s="18" t="n"/>
      <c r="J718" s="35">
        <f>IF($F718="","",$H718*$I718/100)</f>
        <v/>
      </c>
      <c r="K718" s="18" t="n"/>
      <c r="L718" s="35">
        <f>IF($F718="","",$F718*$K718/100)</f>
        <v/>
      </c>
      <c r="M718" s="20">
        <f>IF($A718="","",ROUNDUP(MONTH($A718)/3,0))</f>
        <v/>
      </c>
    </row>
    <row r="719">
      <c r="A719" s="33" t="n"/>
      <c r="B719" s="16" t="n"/>
      <c r="C719" s="16" t="n"/>
      <c r="D719" s="16" t="n"/>
      <c r="E719" s="16" t="n"/>
      <c r="F719" s="34" t="n"/>
      <c r="G719" s="18" t="n"/>
      <c r="H719" s="35">
        <f>IF($F719="","",$F719*$G719/100)</f>
        <v/>
      </c>
      <c r="I719" s="18" t="n"/>
      <c r="J719" s="35">
        <f>IF($F719="","",$H719*$I719/100)</f>
        <v/>
      </c>
      <c r="K719" s="18" t="n"/>
      <c r="L719" s="35">
        <f>IF($F719="","",$F719*$K719/100)</f>
        <v/>
      </c>
      <c r="M719" s="20">
        <f>IF($A719="","",ROUNDUP(MONTH($A719)/3,0))</f>
        <v/>
      </c>
    </row>
    <row r="720">
      <c r="A720" s="33" t="n"/>
      <c r="B720" s="16" t="n"/>
      <c r="C720" s="16" t="n"/>
      <c r="D720" s="16" t="n"/>
      <c r="E720" s="16" t="n"/>
      <c r="F720" s="34" t="n"/>
      <c r="G720" s="18" t="n"/>
      <c r="H720" s="35">
        <f>IF($F720="","",$F720*$G720/100)</f>
        <v/>
      </c>
      <c r="I720" s="18" t="n"/>
      <c r="J720" s="35">
        <f>IF($F720="","",$H720*$I720/100)</f>
        <v/>
      </c>
      <c r="K720" s="18" t="n"/>
      <c r="L720" s="35">
        <f>IF($F720="","",$F720*$K720/100)</f>
        <v/>
      </c>
      <c r="M720" s="20">
        <f>IF($A720="","",ROUNDUP(MONTH($A720)/3,0))</f>
        <v/>
      </c>
    </row>
    <row r="721">
      <c r="A721" s="33" t="n"/>
      <c r="B721" s="16" t="n"/>
      <c r="C721" s="16" t="n"/>
      <c r="D721" s="16" t="n"/>
      <c r="E721" s="16" t="n"/>
      <c r="F721" s="34" t="n"/>
      <c r="G721" s="18" t="n"/>
      <c r="H721" s="35">
        <f>IF($F721="","",$F721*$G721/100)</f>
        <v/>
      </c>
      <c r="I721" s="18" t="n"/>
      <c r="J721" s="35">
        <f>IF($F721="","",$H721*$I721/100)</f>
        <v/>
      </c>
      <c r="K721" s="18" t="n"/>
      <c r="L721" s="35">
        <f>IF($F721="","",$F721*$K721/100)</f>
        <v/>
      </c>
      <c r="M721" s="20">
        <f>IF($A721="","",ROUNDUP(MONTH($A721)/3,0))</f>
        <v/>
      </c>
    </row>
    <row r="722">
      <c r="A722" s="33" t="n"/>
      <c r="B722" s="16" t="n"/>
      <c r="C722" s="16" t="n"/>
      <c r="D722" s="16" t="n"/>
      <c r="E722" s="16" t="n"/>
      <c r="F722" s="34" t="n"/>
      <c r="G722" s="18" t="n"/>
      <c r="H722" s="35">
        <f>IF($F722="","",$F722*$G722/100)</f>
        <v/>
      </c>
      <c r="I722" s="18" t="n"/>
      <c r="J722" s="35">
        <f>IF($F722="","",$H722*$I722/100)</f>
        <v/>
      </c>
      <c r="K722" s="18" t="n"/>
      <c r="L722" s="35">
        <f>IF($F722="","",$F722*$K722/100)</f>
        <v/>
      </c>
      <c r="M722" s="20">
        <f>IF($A722="","",ROUNDUP(MONTH($A722)/3,0))</f>
        <v/>
      </c>
    </row>
    <row r="723">
      <c r="A723" s="33" t="n"/>
      <c r="B723" s="16" t="n"/>
      <c r="C723" s="16" t="n"/>
      <c r="D723" s="16" t="n"/>
      <c r="E723" s="16" t="n"/>
      <c r="F723" s="34" t="n"/>
      <c r="G723" s="18" t="n"/>
      <c r="H723" s="35">
        <f>IF($F723="","",$F723*$G723/100)</f>
        <v/>
      </c>
      <c r="I723" s="18" t="n"/>
      <c r="J723" s="35">
        <f>IF($F723="","",$H723*$I723/100)</f>
        <v/>
      </c>
      <c r="K723" s="18" t="n"/>
      <c r="L723" s="35">
        <f>IF($F723="","",$F723*$K723/100)</f>
        <v/>
      </c>
      <c r="M723" s="20">
        <f>IF($A723="","",ROUNDUP(MONTH($A723)/3,0))</f>
        <v/>
      </c>
    </row>
    <row r="724">
      <c r="A724" s="33" t="n"/>
      <c r="B724" s="16" t="n"/>
      <c r="C724" s="16" t="n"/>
      <c r="D724" s="16" t="n"/>
      <c r="E724" s="16" t="n"/>
      <c r="F724" s="34" t="n"/>
      <c r="G724" s="18" t="n"/>
      <c r="H724" s="35">
        <f>IF($F724="","",$F724*$G724/100)</f>
        <v/>
      </c>
      <c r="I724" s="18" t="n"/>
      <c r="J724" s="35">
        <f>IF($F724="","",$H724*$I724/100)</f>
        <v/>
      </c>
      <c r="K724" s="18" t="n"/>
      <c r="L724" s="35">
        <f>IF($F724="","",$F724*$K724/100)</f>
        <v/>
      </c>
      <c r="M724" s="20">
        <f>IF($A724="","",ROUNDUP(MONTH($A724)/3,0))</f>
        <v/>
      </c>
    </row>
    <row r="725">
      <c r="A725" s="33" t="n"/>
      <c r="B725" s="16" t="n"/>
      <c r="C725" s="16" t="n"/>
      <c r="D725" s="16" t="n"/>
      <c r="E725" s="16" t="n"/>
      <c r="F725" s="34" t="n"/>
      <c r="G725" s="18" t="n"/>
      <c r="H725" s="35">
        <f>IF($F725="","",$F725*$G725/100)</f>
        <v/>
      </c>
      <c r="I725" s="18" t="n"/>
      <c r="J725" s="35">
        <f>IF($F725="","",$H725*$I725/100)</f>
        <v/>
      </c>
      <c r="K725" s="18" t="n"/>
      <c r="L725" s="35">
        <f>IF($F725="","",$F725*$K725/100)</f>
        <v/>
      </c>
      <c r="M725" s="20">
        <f>IF($A725="","",ROUNDUP(MONTH($A725)/3,0))</f>
        <v/>
      </c>
    </row>
    <row r="726">
      <c r="A726" s="33" t="n"/>
      <c r="B726" s="16" t="n"/>
      <c r="C726" s="16" t="n"/>
      <c r="D726" s="16" t="n"/>
      <c r="E726" s="16" t="n"/>
      <c r="F726" s="34" t="n"/>
      <c r="G726" s="18" t="n"/>
      <c r="H726" s="35">
        <f>IF($F726="","",$F726*$G726/100)</f>
        <v/>
      </c>
      <c r="I726" s="18" t="n"/>
      <c r="J726" s="35">
        <f>IF($F726="","",$H726*$I726/100)</f>
        <v/>
      </c>
      <c r="K726" s="18" t="n"/>
      <c r="L726" s="35">
        <f>IF($F726="","",$F726*$K726/100)</f>
        <v/>
      </c>
      <c r="M726" s="20">
        <f>IF($A726="","",ROUNDUP(MONTH($A726)/3,0))</f>
        <v/>
      </c>
    </row>
    <row r="727">
      <c r="A727" s="33" t="n"/>
      <c r="B727" s="16" t="n"/>
      <c r="C727" s="16" t="n"/>
      <c r="D727" s="16" t="n"/>
      <c r="E727" s="16" t="n"/>
      <c r="F727" s="34" t="n"/>
      <c r="G727" s="18" t="n"/>
      <c r="H727" s="35">
        <f>IF($F727="","",$F727*$G727/100)</f>
        <v/>
      </c>
      <c r="I727" s="18" t="n"/>
      <c r="J727" s="35">
        <f>IF($F727="","",$H727*$I727/100)</f>
        <v/>
      </c>
      <c r="K727" s="18" t="n"/>
      <c r="L727" s="35">
        <f>IF($F727="","",$F727*$K727/100)</f>
        <v/>
      </c>
      <c r="M727" s="20">
        <f>IF($A727="","",ROUNDUP(MONTH($A727)/3,0))</f>
        <v/>
      </c>
    </row>
    <row r="728">
      <c r="A728" s="33" t="n"/>
      <c r="B728" s="16" t="n"/>
      <c r="C728" s="16" t="n"/>
      <c r="D728" s="16" t="n"/>
      <c r="E728" s="16" t="n"/>
      <c r="F728" s="34" t="n"/>
      <c r="G728" s="18" t="n"/>
      <c r="H728" s="35">
        <f>IF($F728="","",$F728*$G728/100)</f>
        <v/>
      </c>
      <c r="I728" s="18" t="n"/>
      <c r="J728" s="35">
        <f>IF($F728="","",$H728*$I728/100)</f>
        <v/>
      </c>
      <c r="K728" s="18" t="n"/>
      <c r="L728" s="35">
        <f>IF($F728="","",$F728*$K728/100)</f>
        <v/>
      </c>
      <c r="M728" s="20">
        <f>IF($A728="","",ROUNDUP(MONTH($A728)/3,0))</f>
        <v/>
      </c>
    </row>
    <row r="729">
      <c r="A729" s="33" t="n"/>
      <c r="B729" s="16" t="n"/>
      <c r="C729" s="16" t="n"/>
      <c r="D729" s="16" t="n"/>
      <c r="E729" s="16" t="n"/>
      <c r="F729" s="34" t="n"/>
      <c r="G729" s="18" t="n"/>
      <c r="H729" s="35">
        <f>IF($F729="","",$F729*$G729/100)</f>
        <v/>
      </c>
      <c r="I729" s="18" t="n"/>
      <c r="J729" s="35">
        <f>IF($F729="","",$H729*$I729/100)</f>
        <v/>
      </c>
      <c r="K729" s="18" t="n"/>
      <c r="L729" s="35">
        <f>IF($F729="","",$F729*$K729/100)</f>
        <v/>
      </c>
      <c r="M729" s="20">
        <f>IF($A729="","",ROUNDUP(MONTH($A729)/3,0))</f>
        <v/>
      </c>
    </row>
    <row r="730">
      <c r="A730" s="33" t="n"/>
      <c r="B730" s="16" t="n"/>
      <c r="C730" s="16" t="n"/>
      <c r="D730" s="16" t="n"/>
      <c r="E730" s="16" t="n"/>
      <c r="F730" s="34" t="n"/>
      <c r="G730" s="18" t="n"/>
      <c r="H730" s="35">
        <f>IF($F730="","",$F730*$G730/100)</f>
        <v/>
      </c>
      <c r="I730" s="18" t="n"/>
      <c r="J730" s="35">
        <f>IF($F730="","",$H730*$I730/100)</f>
        <v/>
      </c>
      <c r="K730" s="18" t="n"/>
      <c r="L730" s="35">
        <f>IF($F730="","",$F730*$K730/100)</f>
        <v/>
      </c>
      <c r="M730" s="20">
        <f>IF($A730="","",ROUNDUP(MONTH($A730)/3,0))</f>
        <v/>
      </c>
    </row>
    <row r="731">
      <c r="A731" s="33" t="n"/>
      <c r="B731" s="16" t="n"/>
      <c r="C731" s="16" t="n"/>
      <c r="D731" s="16" t="n"/>
      <c r="E731" s="16" t="n"/>
      <c r="F731" s="34" t="n"/>
      <c r="G731" s="18" t="n"/>
      <c r="H731" s="35">
        <f>IF($F731="","",$F731*$G731/100)</f>
        <v/>
      </c>
      <c r="I731" s="18" t="n"/>
      <c r="J731" s="35">
        <f>IF($F731="","",$H731*$I731/100)</f>
        <v/>
      </c>
      <c r="K731" s="18" t="n"/>
      <c r="L731" s="35">
        <f>IF($F731="","",$F731*$K731/100)</f>
        <v/>
      </c>
      <c r="M731" s="20">
        <f>IF($A731="","",ROUNDUP(MONTH($A731)/3,0))</f>
        <v/>
      </c>
    </row>
    <row r="732">
      <c r="A732" s="33" t="n"/>
      <c r="B732" s="16" t="n"/>
      <c r="C732" s="16" t="n"/>
      <c r="D732" s="16" t="n"/>
      <c r="E732" s="16" t="n"/>
      <c r="F732" s="34" t="n"/>
      <c r="G732" s="18" t="n"/>
      <c r="H732" s="35">
        <f>IF($F732="","",$F732*$G732/100)</f>
        <v/>
      </c>
      <c r="I732" s="18" t="n"/>
      <c r="J732" s="35">
        <f>IF($F732="","",$H732*$I732/100)</f>
        <v/>
      </c>
      <c r="K732" s="18" t="n"/>
      <c r="L732" s="35">
        <f>IF($F732="","",$F732*$K732/100)</f>
        <v/>
      </c>
      <c r="M732" s="20">
        <f>IF($A732="","",ROUNDUP(MONTH($A732)/3,0))</f>
        <v/>
      </c>
    </row>
    <row r="733">
      <c r="A733" s="33" t="n"/>
      <c r="B733" s="16" t="n"/>
      <c r="C733" s="16" t="n"/>
      <c r="D733" s="16" t="n"/>
      <c r="E733" s="16" t="n"/>
      <c r="F733" s="34" t="n"/>
      <c r="G733" s="18" t="n"/>
      <c r="H733" s="35">
        <f>IF($F733="","",$F733*$G733/100)</f>
        <v/>
      </c>
      <c r="I733" s="18" t="n"/>
      <c r="J733" s="35">
        <f>IF($F733="","",$H733*$I733/100)</f>
        <v/>
      </c>
      <c r="K733" s="18" t="n"/>
      <c r="L733" s="35">
        <f>IF($F733="","",$F733*$K733/100)</f>
        <v/>
      </c>
      <c r="M733" s="20">
        <f>IF($A733="","",ROUNDUP(MONTH($A733)/3,0))</f>
        <v/>
      </c>
    </row>
    <row r="734">
      <c r="A734" s="33" t="n"/>
      <c r="B734" s="16" t="n"/>
      <c r="C734" s="16" t="n"/>
      <c r="D734" s="16" t="n"/>
      <c r="E734" s="16" t="n"/>
      <c r="F734" s="34" t="n"/>
      <c r="G734" s="18" t="n"/>
      <c r="H734" s="35">
        <f>IF($F734="","",$F734*$G734/100)</f>
        <v/>
      </c>
      <c r="I734" s="18" t="n"/>
      <c r="J734" s="35">
        <f>IF($F734="","",$H734*$I734/100)</f>
        <v/>
      </c>
      <c r="K734" s="18" t="n"/>
      <c r="L734" s="35">
        <f>IF($F734="","",$F734*$K734/100)</f>
        <v/>
      </c>
      <c r="M734" s="20">
        <f>IF($A734="","",ROUNDUP(MONTH($A734)/3,0))</f>
        <v/>
      </c>
    </row>
    <row r="735">
      <c r="A735" s="33" t="n"/>
      <c r="B735" s="16" t="n"/>
      <c r="C735" s="16" t="n"/>
      <c r="D735" s="16" t="n"/>
      <c r="E735" s="16" t="n"/>
      <c r="F735" s="34" t="n"/>
      <c r="G735" s="18" t="n"/>
      <c r="H735" s="35">
        <f>IF($F735="","",$F735*$G735/100)</f>
        <v/>
      </c>
      <c r="I735" s="18" t="n"/>
      <c r="J735" s="35">
        <f>IF($F735="","",$H735*$I735/100)</f>
        <v/>
      </c>
      <c r="K735" s="18" t="n"/>
      <c r="L735" s="35">
        <f>IF($F735="","",$F735*$K735/100)</f>
        <v/>
      </c>
      <c r="M735" s="20">
        <f>IF($A735="","",ROUNDUP(MONTH($A735)/3,0))</f>
        <v/>
      </c>
    </row>
    <row r="736">
      <c r="A736" s="33" t="n"/>
      <c r="B736" s="16" t="n"/>
      <c r="C736" s="16" t="n"/>
      <c r="D736" s="16" t="n"/>
      <c r="E736" s="16" t="n"/>
      <c r="F736" s="34" t="n"/>
      <c r="G736" s="18" t="n"/>
      <c r="H736" s="35">
        <f>IF($F736="","",$F736*$G736/100)</f>
        <v/>
      </c>
      <c r="I736" s="18" t="n"/>
      <c r="J736" s="35">
        <f>IF($F736="","",$H736*$I736/100)</f>
        <v/>
      </c>
      <c r="K736" s="18" t="n"/>
      <c r="L736" s="35">
        <f>IF($F736="","",$F736*$K736/100)</f>
        <v/>
      </c>
      <c r="M736" s="20">
        <f>IF($A736="","",ROUNDUP(MONTH($A736)/3,0))</f>
        <v/>
      </c>
    </row>
    <row r="737">
      <c r="A737" s="33" t="n"/>
      <c r="B737" s="16" t="n"/>
      <c r="C737" s="16" t="n"/>
      <c r="D737" s="16" t="n"/>
      <c r="E737" s="16" t="n"/>
      <c r="F737" s="34" t="n"/>
      <c r="G737" s="18" t="n"/>
      <c r="H737" s="35">
        <f>IF($F737="","",$F737*$G737/100)</f>
        <v/>
      </c>
      <c r="I737" s="18" t="n"/>
      <c r="J737" s="35">
        <f>IF($F737="","",$H737*$I737/100)</f>
        <v/>
      </c>
      <c r="K737" s="18" t="n"/>
      <c r="L737" s="35">
        <f>IF($F737="","",$F737*$K737/100)</f>
        <v/>
      </c>
      <c r="M737" s="20">
        <f>IF($A737="","",ROUNDUP(MONTH($A737)/3,0))</f>
        <v/>
      </c>
    </row>
    <row r="738">
      <c r="A738" s="33" t="n"/>
      <c r="B738" s="16" t="n"/>
      <c r="C738" s="16" t="n"/>
      <c r="D738" s="16" t="n"/>
      <c r="E738" s="16" t="n"/>
      <c r="F738" s="34" t="n"/>
      <c r="G738" s="18" t="n"/>
      <c r="H738" s="35">
        <f>IF($F738="","",$F738*$G738/100)</f>
        <v/>
      </c>
      <c r="I738" s="18" t="n"/>
      <c r="J738" s="35">
        <f>IF($F738="","",$H738*$I738/100)</f>
        <v/>
      </c>
      <c r="K738" s="18" t="n"/>
      <c r="L738" s="35">
        <f>IF($F738="","",$F738*$K738/100)</f>
        <v/>
      </c>
      <c r="M738" s="20">
        <f>IF($A738="","",ROUNDUP(MONTH($A738)/3,0))</f>
        <v/>
      </c>
    </row>
    <row r="739">
      <c r="A739" s="33" t="n"/>
      <c r="B739" s="16" t="n"/>
      <c r="C739" s="16" t="n"/>
      <c r="D739" s="16" t="n"/>
      <c r="E739" s="16" t="n"/>
      <c r="F739" s="34" t="n"/>
      <c r="G739" s="18" t="n"/>
      <c r="H739" s="35">
        <f>IF($F739="","",$F739*$G739/100)</f>
        <v/>
      </c>
      <c r="I739" s="18" t="n"/>
      <c r="J739" s="35">
        <f>IF($F739="","",$H739*$I739/100)</f>
        <v/>
      </c>
      <c r="K739" s="18" t="n"/>
      <c r="L739" s="35">
        <f>IF($F739="","",$F739*$K739/100)</f>
        <v/>
      </c>
      <c r="M739" s="20">
        <f>IF($A739="","",ROUNDUP(MONTH($A739)/3,0))</f>
        <v/>
      </c>
    </row>
    <row r="740">
      <c r="A740" s="33" t="n"/>
      <c r="B740" s="16" t="n"/>
      <c r="C740" s="16" t="n"/>
      <c r="D740" s="16" t="n"/>
      <c r="E740" s="16" t="n"/>
      <c r="F740" s="34" t="n"/>
      <c r="G740" s="18" t="n"/>
      <c r="H740" s="35">
        <f>IF($F740="","",$F740*$G740/100)</f>
        <v/>
      </c>
      <c r="I740" s="18" t="n"/>
      <c r="J740" s="35">
        <f>IF($F740="","",$H740*$I740/100)</f>
        <v/>
      </c>
      <c r="K740" s="18" t="n"/>
      <c r="L740" s="35">
        <f>IF($F740="","",$F740*$K740/100)</f>
        <v/>
      </c>
      <c r="M740" s="20">
        <f>IF($A740="","",ROUNDUP(MONTH($A740)/3,0))</f>
        <v/>
      </c>
    </row>
    <row r="741">
      <c r="A741" s="33" t="n"/>
      <c r="B741" s="16" t="n"/>
      <c r="C741" s="16" t="n"/>
      <c r="D741" s="16" t="n"/>
      <c r="E741" s="16" t="n"/>
      <c r="F741" s="34" t="n"/>
      <c r="G741" s="18" t="n"/>
      <c r="H741" s="35">
        <f>IF($F741="","",$F741*$G741/100)</f>
        <v/>
      </c>
      <c r="I741" s="18" t="n"/>
      <c r="J741" s="35">
        <f>IF($F741="","",$H741*$I741/100)</f>
        <v/>
      </c>
      <c r="K741" s="18" t="n"/>
      <c r="L741" s="35">
        <f>IF($F741="","",$F741*$K741/100)</f>
        <v/>
      </c>
      <c r="M741" s="20">
        <f>IF($A741="","",ROUNDUP(MONTH($A741)/3,0))</f>
        <v/>
      </c>
    </row>
    <row r="742">
      <c r="A742" s="33" t="n"/>
      <c r="B742" s="16" t="n"/>
      <c r="C742" s="16" t="n"/>
      <c r="D742" s="16" t="n"/>
      <c r="E742" s="16" t="n"/>
      <c r="F742" s="34" t="n"/>
      <c r="G742" s="18" t="n"/>
      <c r="H742" s="35">
        <f>IF($F742="","",$F742*$G742/100)</f>
        <v/>
      </c>
      <c r="I742" s="18" t="n"/>
      <c r="J742" s="35">
        <f>IF($F742="","",$H742*$I742/100)</f>
        <v/>
      </c>
      <c r="K742" s="18" t="n"/>
      <c r="L742" s="35">
        <f>IF($F742="","",$F742*$K742/100)</f>
        <v/>
      </c>
      <c r="M742" s="20">
        <f>IF($A742="","",ROUNDUP(MONTH($A742)/3,0))</f>
        <v/>
      </c>
    </row>
    <row r="743">
      <c r="A743" s="33" t="n"/>
      <c r="B743" s="16" t="n"/>
      <c r="C743" s="16" t="n"/>
      <c r="D743" s="16" t="n"/>
      <c r="E743" s="16" t="n"/>
      <c r="F743" s="34" t="n"/>
      <c r="G743" s="18" t="n"/>
      <c r="H743" s="35">
        <f>IF($F743="","",$F743*$G743/100)</f>
        <v/>
      </c>
      <c r="I743" s="18" t="n"/>
      <c r="J743" s="35">
        <f>IF($F743="","",$H743*$I743/100)</f>
        <v/>
      </c>
      <c r="K743" s="18" t="n"/>
      <c r="L743" s="35">
        <f>IF($F743="","",$F743*$K743/100)</f>
        <v/>
      </c>
      <c r="M743" s="20">
        <f>IF($A743="","",ROUNDUP(MONTH($A743)/3,0))</f>
        <v/>
      </c>
    </row>
    <row r="744">
      <c r="A744" s="33" t="n"/>
      <c r="B744" s="16" t="n"/>
      <c r="C744" s="16" t="n"/>
      <c r="D744" s="16" t="n"/>
      <c r="E744" s="16" t="n"/>
      <c r="F744" s="34" t="n"/>
      <c r="G744" s="18" t="n"/>
      <c r="H744" s="35">
        <f>IF($F744="","",$F744*$G744/100)</f>
        <v/>
      </c>
      <c r="I744" s="18" t="n"/>
      <c r="J744" s="35">
        <f>IF($F744="","",$H744*$I744/100)</f>
        <v/>
      </c>
      <c r="K744" s="18" t="n"/>
      <c r="L744" s="35">
        <f>IF($F744="","",$F744*$K744/100)</f>
        <v/>
      </c>
      <c r="M744" s="20">
        <f>IF($A744="","",ROUNDUP(MONTH($A744)/3,0))</f>
        <v/>
      </c>
    </row>
    <row r="745">
      <c r="A745" s="33" t="n"/>
      <c r="B745" s="16" t="n"/>
      <c r="C745" s="16" t="n"/>
      <c r="D745" s="16" t="n"/>
      <c r="E745" s="16" t="n"/>
      <c r="F745" s="34" t="n"/>
      <c r="G745" s="18" t="n"/>
      <c r="H745" s="35">
        <f>IF($F745="","",$F745*$G745/100)</f>
        <v/>
      </c>
      <c r="I745" s="18" t="n"/>
      <c r="J745" s="35">
        <f>IF($F745="","",$H745*$I745/100)</f>
        <v/>
      </c>
      <c r="K745" s="18" t="n"/>
      <c r="L745" s="35">
        <f>IF($F745="","",$F745*$K745/100)</f>
        <v/>
      </c>
      <c r="M745" s="20">
        <f>IF($A745="","",ROUNDUP(MONTH($A745)/3,0))</f>
        <v/>
      </c>
    </row>
    <row r="746">
      <c r="A746" s="33" t="n"/>
      <c r="B746" s="16" t="n"/>
      <c r="C746" s="16" t="n"/>
      <c r="D746" s="16" t="n"/>
      <c r="E746" s="16" t="n"/>
      <c r="F746" s="34" t="n"/>
      <c r="G746" s="18" t="n"/>
      <c r="H746" s="35">
        <f>IF($F746="","",$F746*$G746/100)</f>
        <v/>
      </c>
      <c r="I746" s="18" t="n"/>
      <c r="J746" s="35">
        <f>IF($F746="","",$H746*$I746/100)</f>
        <v/>
      </c>
      <c r="K746" s="18" t="n"/>
      <c r="L746" s="35">
        <f>IF($F746="","",$F746*$K746/100)</f>
        <v/>
      </c>
      <c r="M746" s="20">
        <f>IF($A746="","",ROUNDUP(MONTH($A746)/3,0))</f>
        <v/>
      </c>
    </row>
    <row r="747">
      <c r="A747" s="33" t="n"/>
      <c r="B747" s="16" t="n"/>
      <c r="C747" s="16" t="n"/>
      <c r="D747" s="16" t="n"/>
      <c r="E747" s="16" t="n"/>
      <c r="F747" s="34" t="n"/>
      <c r="G747" s="18" t="n"/>
      <c r="H747" s="35">
        <f>IF($F747="","",$F747*$G747/100)</f>
        <v/>
      </c>
      <c r="I747" s="18" t="n"/>
      <c r="J747" s="35">
        <f>IF($F747="","",$H747*$I747/100)</f>
        <v/>
      </c>
      <c r="K747" s="18" t="n"/>
      <c r="L747" s="35">
        <f>IF($F747="","",$F747*$K747/100)</f>
        <v/>
      </c>
      <c r="M747" s="20">
        <f>IF($A747="","",ROUNDUP(MONTH($A747)/3,0))</f>
        <v/>
      </c>
    </row>
    <row r="748">
      <c r="A748" s="33" t="n"/>
      <c r="B748" s="16" t="n"/>
      <c r="C748" s="16" t="n"/>
      <c r="D748" s="16" t="n"/>
      <c r="E748" s="16" t="n"/>
      <c r="F748" s="34" t="n"/>
      <c r="G748" s="18" t="n"/>
      <c r="H748" s="35">
        <f>IF($F748="","",$F748*$G748/100)</f>
        <v/>
      </c>
      <c r="I748" s="18" t="n"/>
      <c r="J748" s="35">
        <f>IF($F748="","",$H748*$I748/100)</f>
        <v/>
      </c>
      <c r="K748" s="18" t="n"/>
      <c r="L748" s="35">
        <f>IF($F748="","",$F748*$K748/100)</f>
        <v/>
      </c>
      <c r="M748" s="20">
        <f>IF($A748="","",ROUNDUP(MONTH($A748)/3,0))</f>
        <v/>
      </c>
    </row>
    <row r="749">
      <c r="A749" s="33" t="n"/>
      <c r="B749" s="16" t="n"/>
      <c r="C749" s="16" t="n"/>
      <c r="D749" s="16" t="n"/>
      <c r="E749" s="16" t="n"/>
      <c r="F749" s="34" t="n"/>
      <c r="G749" s="18" t="n"/>
      <c r="H749" s="35">
        <f>IF($F749="","",$F749*$G749/100)</f>
        <v/>
      </c>
      <c r="I749" s="18" t="n"/>
      <c r="J749" s="35">
        <f>IF($F749="","",$H749*$I749/100)</f>
        <v/>
      </c>
      <c r="K749" s="18" t="n"/>
      <c r="L749" s="35">
        <f>IF($F749="","",$F749*$K749/100)</f>
        <v/>
      </c>
      <c r="M749" s="20">
        <f>IF($A749="","",ROUNDUP(MONTH($A749)/3,0))</f>
        <v/>
      </c>
    </row>
    <row r="750">
      <c r="A750" s="33" t="n"/>
      <c r="B750" s="16" t="n"/>
      <c r="C750" s="16" t="n"/>
      <c r="D750" s="16" t="n"/>
      <c r="E750" s="16" t="n"/>
      <c r="F750" s="34" t="n"/>
      <c r="G750" s="18" t="n"/>
      <c r="H750" s="35">
        <f>IF($F750="","",$F750*$G750/100)</f>
        <v/>
      </c>
      <c r="I750" s="18" t="n"/>
      <c r="J750" s="35">
        <f>IF($F750="","",$H750*$I750/100)</f>
        <v/>
      </c>
      <c r="K750" s="18" t="n"/>
      <c r="L750" s="35">
        <f>IF($F750="","",$F750*$K750/100)</f>
        <v/>
      </c>
      <c r="M750" s="20">
        <f>IF($A750="","",ROUNDUP(MONTH($A750)/3,0))</f>
        <v/>
      </c>
    </row>
    <row r="751">
      <c r="A751" s="33" t="n"/>
      <c r="B751" s="16" t="n"/>
      <c r="C751" s="16" t="n"/>
      <c r="D751" s="16" t="n"/>
      <c r="E751" s="16" t="n"/>
      <c r="F751" s="34" t="n"/>
      <c r="G751" s="18" t="n"/>
      <c r="H751" s="35">
        <f>IF($F751="","",$F751*$G751/100)</f>
        <v/>
      </c>
      <c r="I751" s="18" t="n"/>
      <c r="J751" s="35">
        <f>IF($F751="","",$H751*$I751/100)</f>
        <v/>
      </c>
      <c r="K751" s="18" t="n"/>
      <c r="L751" s="35">
        <f>IF($F751="","",$F751*$K751/100)</f>
        <v/>
      </c>
      <c r="M751" s="20">
        <f>IF($A751="","",ROUNDUP(MONTH($A751)/3,0))</f>
        <v/>
      </c>
    </row>
    <row r="752">
      <c r="A752" s="33" t="n"/>
      <c r="B752" s="16" t="n"/>
      <c r="C752" s="16" t="n"/>
      <c r="D752" s="16" t="n"/>
      <c r="E752" s="16" t="n"/>
      <c r="F752" s="34" t="n"/>
      <c r="G752" s="18" t="n"/>
      <c r="H752" s="35">
        <f>IF($F752="","",$F752*$G752/100)</f>
        <v/>
      </c>
      <c r="I752" s="18" t="n"/>
      <c r="J752" s="35">
        <f>IF($F752="","",$H752*$I752/100)</f>
        <v/>
      </c>
      <c r="K752" s="18" t="n"/>
      <c r="L752" s="35">
        <f>IF($F752="","",$F752*$K752/100)</f>
        <v/>
      </c>
      <c r="M752" s="20">
        <f>IF($A752="","",ROUNDUP(MONTH($A752)/3,0))</f>
        <v/>
      </c>
    </row>
    <row r="753">
      <c r="A753" s="33" t="n"/>
      <c r="B753" s="16" t="n"/>
      <c r="C753" s="16" t="n"/>
      <c r="D753" s="16" t="n"/>
      <c r="E753" s="16" t="n"/>
      <c r="F753" s="34" t="n"/>
      <c r="G753" s="18" t="n"/>
      <c r="H753" s="35">
        <f>IF($F753="","",$F753*$G753/100)</f>
        <v/>
      </c>
      <c r="I753" s="18" t="n"/>
      <c r="J753" s="35">
        <f>IF($F753="","",$H753*$I753/100)</f>
        <v/>
      </c>
      <c r="K753" s="18" t="n"/>
      <c r="L753" s="35">
        <f>IF($F753="","",$F753*$K753/100)</f>
        <v/>
      </c>
      <c r="M753" s="20">
        <f>IF($A753="","",ROUNDUP(MONTH($A753)/3,0))</f>
        <v/>
      </c>
    </row>
    <row r="754">
      <c r="A754" s="33" t="n"/>
      <c r="B754" s="16" t="n"/>
      <c r="C754" s="16" t="n"/>
      <c r="D754" s="16" t="n"/>
      <c r="E754" s="16" t="n"/>
      <c r="F754" s="34" t="n"/>
      <c r="G754" s="18" t="n"/>
      <c r="H754" s="35">
        <f>IF($F754="","",$F754*$G754/100)</f>
        <v/>
      </c>
      <c r="I754" s="18" t="n"/>
      <c r="J754" s="35">
        <f>IF($F754="","",$H754*$I754/100)</f>
        <v/>
      </c>
      <c r="K754" s="18" t="n"/>
      <c r="L754" s="35">
        <f>IF($F754="","",$F754*$K754/100)</f>
        <v/>
      </c>
      <c r="M754" s="20">
        <f>IF($A754="","",ROUNDUP(MONTH($A754)/3,0))</f>
        <v/>
      </c>
    </row>
    <row r="755">
      <c r="A755" s="33" t="n"/>
      <c r="B755" s="16" t="n"/>
      <c r="C755" s="16" t="n"/>
      <c r="D755" s="16" t="n"/>
      <c r="E755" s="16" t="n"/>
      <c r="F755" s="34" t="n"/>
      <c r="G755" s="18" t="n"/>
      <c r="H755" s="35">
        <f>IF($F755="","",$F755*$G755/100)</f>
        <v/>
      </c>
      <c r="I755" s="18" t="n"/>
      <c r="J755" s="35">
        <f>IF($F755="","",$H755*$I755/100)</f>
        <v/>
      </c>
      <c r="K755" s="18" t="n"/>
      <c r="L755" s="35">
        <f>IF($F755="","",$F755*$K755/100)</f>
        <v/>
      </c>
      <c r="M755" s="20">
        <f>IF($A755="","",ROUNDUP(MONTH($A755)/3,0))</f>
        <v/>
      </c>
    </row>
    <row r="756">
      <c r="A756" s="33" t="n"/>
      <c r="B756" s="16" t="n"/>
      <c r="C756" s="16" t="n"/>
      <c r="D756" s="16" t="n"/>
      <c r="E756" s="16" t="n"/>
      <c r="F756" s="34" t="n"/>
      <c r="G756" s="18" t="n"/>
      <c r="H756" s="35">
        <f>IF($F756="","",$F756*$G756/100)</f>
        <v/>
      </c>
      <c r="I756" s="18" t="n"/>
      <c r="J756" s="35">
        <f>IF($F756="","",$H756*$I756/100)</f>
        <v/>
      </c>
      <c r="K756" s="18" t="n"/>
      <c r="L756" s="35">
        <f>IF($F756="","",$F756*$K756/100)</f>
        <v/>
      </c>
      <c r="M756" s="20">
        <f>IF($A756="","",ROUNDUP(MONTH($A756)/3,0))</f>
        <v/>
      </c>
    </row>
    <row r="757">
      <c r="A757" s="33" t="n"/>
      <c r="B757" s="16" t="n"/>
      <c r="C757" s="16" t="n"/>
      <c r="D757" s="16" t="n"/>
      <c r="E757" s="16" t="n"/>
      <c r="F757" s="34" t="n"/>
      <c r="G757" s="18" t="n"/>
      <c r="H757" s="35">
        <f>IF($F757="","",$F757*$G757/100)</f>
        <v/>
      </c>
      <c r="I757" s="18" t="n"/>
      <c r="J757" s="35">
        <f>IF($F757="","",$H757*$I757/100)</f>
        <v/>
      </c>
      <c r="K757" s="18" t="n"/>
      <c r="L757" s="35">
        <f>IF($F757="","",$F757*$K757/100)</f>
        <v/>
      </c>
      <c r="M757" s="20">
        <f>IF($A757="","",ROUNDUP(MONTH($A757)/3,0))</f>
        <v/>
      </c>
    </row>
    <row r="758">
      <c r="A758" s="33" t="n"/>
      <c r="B758" s="16" t="n"/>
      <c r="C758" s="16" t="n"/>
      <c r="D758" s="16" t="n"/>
      <c r="E758" s="16" t="n"/>
      <c r="F758" s="34" t="n"/>
      <c r="G758" s="18" t="n"/>
      <c r="H758" s="35">
        <f>IF($F758="","",$F758*$G758/100)</f>
        <v/>
      </c>
      <c r="I758" s="18" t="n"/>
      <c r="J758" s="35">
        <f>IF($F758="","",$H758*$I758/100)</f>
        <v/>
      </c>
      <c r="K758" s="18" t="n"/>
      <c r="L758" s="35">
        <f>IF($F758="","",$F758*$K758/100)</f>
        <v/>
      </c>
      <c r="M758" s="20">
        <f>IF($A758="","",ROUNDUP(MONTH($A758)/3,0))</f>
        <v/>
      </c>
    </row>
    <row r="759">
      <c r="A759" s="33" t="n"/>
      <c r="B759" s="16" t="n"/>
      <c r="C759" s="16" t="n"/>
      <c r="D759" s="16" t="n"/>
      <c r="E759" s="16" t="n"/>
      <c r="F759" s="34" t="n"/>
      <c r="G759" s="18" t="n"/>
      <c r="H759" s="35">
        <f>IF($F759="","",$F759*$G759/100)</f>
        <v/>
      </c>
      <c r="I759" s="18" t="n"/>
      <c r="J759" s="35">
        <f>IF($F759="","",$H759*$I759/100)</f>
        <v/>
      </c>
      <c r="K759" s="18" t="n"/>
      <c r="L759" s="35">
        <f>IF($F759="","",$F759*$K759/100)</f>
        <v/>
      </c>
      <c r="M759" s="20">
        <f>IF($A759="","",ROUNDUP(MONTH($A759)/3,0))</f>
        <v/>
      </c>
    </row>
    <row r="760">
      <c r="A760" s="33" t="n"/>
      <c r="B760" s="16" t="n"/>
      <c r="C760" s="16" t="n"/>
      <c r="D760" s="16" t="n"/>
      <c r="E760" s="16" t="n"/>
      <c r="F760" s="34" t="n"/>
      <c r="G760" s="18" t="n"/>
      <c r="H760" s="35">
        <f>IF($F760="","",$F760*$G760/100)</f>
        <v/>
      </c>
      <c r="I760" s="18" t="n"/>
      <c r="J760" s="35">
        <f>IF($F760="","",$H760*$I760/100)</f>
        <v/>
      </c>
      <c r="K760" s="18" t="n"/>
      <c r="L760" s="35">
        <f>IF($F760="","",$F760*$K760/100)</f>
        <v/>
      </c>
      <c r="M760" s="20">
        <f>IF($A760="","",ROUNDUP(MONTH($A760)/3,0))</f>
        <v/>
      </c>
    </row>
    <row r="761">
      <c r="A761" s="33" t="n"/>
      <c r="B761" s="16" t="n"/>
      <c r="C761" s="16" t="n"/>
      <c r="D761" s="16" t="n"/>
      <c r="E761" s="16" t="n"/>
      <c r="F761" s="34" t="n"/>
      <c r="G761" s="18" t="n"/>
      <c r="H761" s="35">
        <f>IF($F761="","",$F761*$G761/100)</f>
        <v/>
      </c>
      <c r="I761" s="18" t="n"/>
      <c r="J761" s="35">
        <f>IF($F761="","",$H761*$I761/100)</f>
        <v/>
      </c>
      <c r="K761" s="18" t="n"/>
      <c r="L761" s="35">
        <f>IF($F761="","",$F761*$K761/100)</f>
        <v/>
      </c>
      <c r="M761" s="20">
        <f>IF($A761="","",ROUNDUP(MONTH($A761)/3,0))</f>
        <v/>
      </c>
    </row>
    <row r="762">
      <c r="A762" s="33" t="n"/>
      <c r="B762" s="16" t="n"/>
      <c r="C762" s="16" t="n"/>
      <c r="D762" s="16" t="n"/>
      <c r="E762" s="16" t="n"/>
      <c r="F762" s="34" t="n"/>
      <c r="G762" s="18" t="n"/>
      <c r="H762" s="35">
        <f>IF($F762="","",$F762*$G762/100)</f>
        <v/>
      </c>
      <c r="I762" s="18" t="n"/>
      <c r="J762" s="35">
        <f>IF($F762="","",$H762*$I762/100)</f>
        <v/>
      </c>
      <c r="K762" s="18" t="n"/>
      <c r="L762" s="35">
        <f>IF($F762="","",$F762*$K762/100)</f>
        <v/>
      </c>
      <c r="M762" s="20">
        <f>IF($A762="","",ROUNDUP(MONTH($A762)/3,0))</f>
        <v/>
      </c>
    </row>
    <row r="763">
      <c r="A763" s="33" t="n"/>
      <c r="B763" s="16" t="n"/>
      <c r="C763" s="16" t="n"/>
      <c r="D763" s="16" t="n"/>
      <c r="E763" s="16" t="n"/>
      <c r="F763" s="34" t="n"/>
      <c r="G763" s="18" t="n"/>
      <c r="H763" s="35">
        <f>IF($F763="","",$F763*$G763/100)</f>
        <v/>
      </c>
      <c r="I763" s="18" t="n"/>
      <c r="J763" s="35">
        <f>IF($F763="","",$H763*$I763/100)</f>
        <v/>
      </c>
      <c r="K763" s="18" t="n"/>
      <c r="L763" s="35">
        <f>IF($F763="","",$F763*$K763/100)</f>
        <v/>
      </c>
      <c r="M763" s="20">
        <f>IF($A763="","",ROUNDUP(MONTH($A763)/3,0))</f>
        <v/>
      </c>
    </row>
    <row r="764">
      <c r="A764" s="33" t="n"/>
      <c r="B764" s="16" t="n"/>
      <c r="C764" s="16" t="n"/>
      <c r="D764" s="16" t="n"/>
      <c r="E764" s="16" t="n"/>
      <c r="F764" s="34" t="n"/>
      <c r="G764" s="18" t="n"/>
      <c r="H764" s="35">
        <f>IF($F764="","",$F764*$G764/100)</f>
        <v/>
      </c>
      <c r="I764" s="18" t="n"/>
      <c r="J764" s="35">
        <f>IF($F764="","",$H764*$I764/100)</f>
        <v/>
      </c>
      <c r="K764" s="18" t="n"/>
      <c r="L764" s="35">
        <f>IF($F764="","",$F764*$K764/100)</f>
        <v/>
      </c>
      <c r="M764" s="20">
        <f>IF($A764="","",ROUNDUP(MONTH($A764)/3,0))</f>
        <v/>
      </c>
    </row>
    <row r="765">
      <c r="A765" s="33" t="n"/>
      <c r="B765" s="16" t="n"/>
      <c r="C765" s="16" t="n"/>
      <c r="D765" s="16" t="n"/>
      <c r="E765" s="16" t="n"/>
      <c r="F765" s="34" t="n"/>
      <c r="G765" s="18" t="n"/>
      <c r="H765" s="35">
        <f>IF($F765="","",$F765*$G765/100)</f>
        <v/>
      </c>
      <c r="I765" s="18" t="n"/>
      <c r="J765" s="35">
        <f>IF($F765="","",$H765*$I765/100)</f>
        <v/>
      </c>
      <c r="K765" s="18" t="n"/>
      <c r="L765" s="35">
        <f>IF($F765="","",$F765*$K765/100)</f>
        <v/>
      </c>
      <c r="M765" s="20">
        <f>IF($A765="","",ROUNDUP(MONTH($A765)/3,0))</f>
        <v/>
      </c>
    </row>
    <row r="766">
      <c r="A766" s="33" t="n"/>
      <c r="B766" s="16" t="n"/>
      <c r="C766" s="16" t="n"/>
      <c r="D766" s="16" t="n"/>
      <c r="E766" s="16" t="n"/>
      <c r="F766" s="34" t="n"/>
      <c r="G766" s="18" t="n"/>
      <c r="H766" s="35">
        <f>IF($F766="","",$F766*$G766/100)</f>
        <v/>
      </c>
      <c r="I766" s="18" t="n"/>
      <c r="J766" s="35">
        <f>IF($F766="","",$H766*$I766/100)</f>
        <v/>
      </c>
      <c r="K766" s="18" t="n"/>
      <c r="L766" s="35">
        <f>IF($F766="","",$F766*$K766/100)</f>
        <v/>
      </c>
      <c r="M766" s="20">
        <f>IF($A766="","",ROUNDUP(MONTH($A766)/3,0))</f>
        <v/>
      </c>
    </row>
    <row r="767">
      <c r="A767" s="33" t="n"/>
      <c r="B767" s="16" t="n"/>
      <c r="C767" s="16" t="n"/>
      <c r="D767" s="16" t="n"/>
      <c r="E767" s="16" t="n"/>
      <c r="F767" s="34" t="n"/>
      <c r="G767" s="18" t="n"/>
      <c r="H767" s="35">
        <f>IF($F767="","",$F767*$G767/100)</f>
        <v/>
      </c>
      <c r="I767" s="18" t="n"/>
      <c r="J767" s="35">
        <f>IF($F767="","",$H767*$I767/100)</f>
        <v/>
      </c>
      <c r="K767" s="18" t="n"/>
      <c r="L767" s="35">
        <f>IF($F767="","",$F767*$K767/100)</f>
        <v/>
      </c>
      <c r="M767" s="20">
        <f>IF($A767="","",ROUNDUP(MONTH($A767)/3,0))</f>
        <v/>
      </c>
    </row>
    <row r="768">
      <c r="A768" s="33" t="n"/>
      <c r="B768" s="16" t="n"/>
      <c r="C768" s="16" t="n"/>
      <c r="D768" s="16" t="n"/>
      <c r="E768" s="16" t="n"/>
      <c r="F768" s="34" t="n"/>
      <c r="G768" s="18" t="n"/>
      <c r="H768" s="35">
        <f>IF($F768="","",$F768*$G768/100)</f>
        <v/>
      </c>
      <c r="I768" s="18" t="n"/>
      <c r="J768" s="35">
        <f>IF($F768="","",$H768*$I768/100)</f>
        <v/>
      </c>
      <c r="K768" s="18" t="n"/>
      <c r="L768" s="35">
        <f>IF($F768="","",$F768*$K768/100)</f>
        <v/>
      </c>
      <c r="M768" s="20">
        <f>IF($A768="","",ROUNDUP(MONTH($A768)/3,0))</f>
        <v/>
      </c>
    </row>
    <row r="769">
      <c r="A769" s="33" t="n"/>
      <c r="B769" s="16" t="n"/>
      <c r="C769" s="16" t="n"/>
      <c r="D769" s="16" t="n"/>
      <c r="E769" s="16" t="n"/>
      <c r="F769" s="34" t="n"/>
      <c r="G769" s="18" t="n"/>
      <c r="H769" s="35">
        <f>IF($F769="","",$F769*$G769/100)</f>
        <v/>
      </c>
      <c r="I769" s="18" t="n"/>
      <c r="J769" s="35">
        <f>IF($F769="","",$H769*$I769/100)</f>
        <v/>
      </c>
      <c r="K769" s="18" t="n"/>
      <c r="L769" s="35">
        <f>IF($F769="","",$F769*$K769/100)</f>
        <v/>
      </c>
      <c r="M769" s="20">
        <f>IF($A769="","",ROUNDUP(MONTH($A769)/3,0))</f>
        <v/>
      </c>
    </row>
    <row r="770">
      <c r="A770" s="33" t="n"/>
      <c r="B770" s="16" t="n"/>
      <c r="C770" s="16" t="n"/>
      <c r="D770" s="16" t="n"/>
      <c r="E770" s="16" t="n"/>
      <c r="F770" s="34" t="n"/>
      <c r="G770" s="18" t="n"/>
      <c r="H770" s="35">
        <f>IF($F770="","",$F770*$G770/100)</f>
        <v/>
      </c>
      <c r="I770" s="18" t="n"/>
      <c r="J770" s="35">
        <f>IF($F770="","",$H770*$I770/100)</f>
        <v/>
      </c>
      <c r="K770" s="18" t="n"/>
      <c r="L770" s="35">
        <f>IF($F770="","",$F770*$K770/100)</f>
        <v/>
      </c>
      <c r="M770" s="20">
        <f>IF($A770="","",ROUNDUP(MONTH($A770)/3,0))</f>
        <v/>
      </c>
    </row>
    <row r="771">
      <c r="A771" s="33" t="n"/>
      <c r="B771" s="16" t="n"/>
      <c r="C771" s="16" t="n"/>
      <c r="D771" s="16" t="n"/>
      <c r="E771" s="16" t="n"/>
      <c r="F771" s="34" t="n"/>
      <c r="G771" s="18" t="n"/>
      <c r="H771" s="35">
        <f>IF($F771="","",$F771*$G771/100)</f>
        <v/>
      </c>
      <c r="I771" s="18" t="n"/>
      <c r="J771" s="35">
        <f>IF($F771="","",$H771*$I771/100)</f>
        <v/>
      </c>
      <c r="K771" s="18" t="n"/>
      <c r="L771" s="35">
        <f>IF($F771="","",$F771*$K771/100)</f>
        <v/>
      </c>
      <c r="M771" s="20">
        <f>IF($A771="","",ROUNDUP(MONTH($A771)/3,0))</f>
        <v/>
      </c>
    </row>
    <row r="772">
      <c r="A772" s="33" t="n"/>
      <c r="B772" s="16" t="n"/>
      <c r="C772" s="16" t="n"/>
      <c r="D772" s="16" t="n"/>
      <c r="E772" s="16" t="n"/>
      <c r="F772" s="34" t="n"/>
      <c r="G772" s="18" t="n"/>
      <c r="H772" s="35">
        <f>IF($F772="","",$F772*$G772/100)</f>
        <v/>
      </c>
      <c r="I772" s="18" t="n"/>
      <c r="J772" s="35">
        <f>IF($F772="","",$H772*$I772/100)</f>
        <v/>
      </c>
      <c r="K772" s="18" t="n"/>
      <c r="L772" s="35">
        <f>IF($F772="","",$F772*$K772/100)</f>
        <v/>
      </c>
      <c r="M772" s="20">
        <f>IF($A772="","",ROUNDUP(MONTH($A772)/3,0))</f>
        <v/>
      </c>
    </row>
    <row r="773">
      <c r="A773" s="33" t="n"/>
      <c r="B773" s="16" t="n"/>
      <c r="C773" s="16" t="n"/>
      <c r="D773" s="16" t="n"/>
      <c r="E773" s="16" t="n"/>
      <c r="F773" s="34" t="n"/>
      <c r="G773" s="18" t="n"/>
      <c r="H773" s="35">
        <f>IF($F773="","",$F773*$G773/100)</f>
        <v/>
      </c>
      <c r="I773" s="18" t="n"/>
      <c r="J773" s="35">
        <f>IF($F773="","",$H773*$I773/100)</f>
        <v/>
      </c>
      <c r="K773" s="18" t="n"/>
      <c r="L773" s="35">
        <f>IF($F773="","",$F773*$K773/100)</f>
        <v/>
      </c>
      <c r="M773" s="20">
        <f>IF($A773="","",ROUNDUP(MONTH($A773)/3,0))</f>
        <v/>
      </c>
    </row>
    <row r="774">
      <c r="A774" s="33" t="n"/>
      <c r="B774" s="16" t="n"/>
      <c r="C774" s="16" t="n"/>
      <c r="D774" s="16" t="n"/>
      <c r="E774" s="16" t="n"/>
      <c r="F774" s="34" t="n"/>
      <c r="G774" s="18" t="n"/>
      <c r="H774" s="35">
        <f>IF($F774="","",$F774*$G774/100)</f>
        <v/>
      </c>
      <c r="I774" s="18" t="n"/>
      <c r="J774" s="35">
        <f>IF($F774="","",$H774*$I774/100)</f>
        <v/>
      </c>
      <c r="K774" s="18" t="n"/>
      <c r="L774" s="35">
        <f>IF($F774="","",$F774*$K774/100)</f>
        <v/>
      </c>
      <c r="M774" s="20">
        <f>IF($A774="","",ROUNDUP(MONTH($A774)/3,0))</f>
        <v/>
      </c>
    </row>
    <row r="775">
      <c r="A775" s="33" t="n"/>
      <c r="B775" s="16" t="n"/>
      <c r="C775" s="16" t="n"/>
      <c r="D775" s="16" t="n"/>
      <c r="E775" s="16" t="n"/>
      <c r="F775" s="34" t="n"/>
      <c r="G775" s="18" t="n"/>
      <c r="H775" s="35">
        <f>IF($F775="","",$F775*$G775/100)</f>
        <v/>
      </c>
      <c r="I775" s="18" t="n"/>
      <c r="J775" s="35">
        <f>IF($F775="","",$H775*$I775/100)</f>
        <v/>
      </c>
      <c r="K775" s="18" t="n"/>
      <c r="L775" s="35">
        <f>IF($F775="","",$F775*$K775/100)</f>
        <v/>
      </c>
      <c r="M775" s="20">
        <f>IF($A775="","",ROUNDUP(MONTH($A775)/3,0))</f>
        <v/>
      </c>
    </row>
    <row r="776">
      <c r="A776" s="33" t="n"/>
      <c r="B776" s="16" t="n"/>
      <c r="C776" s="16" t="n"/>
      <c r="D776" s="16" t="n"/>
      <c r="E776" s="16" t="n"/>
      <c r="F776" s="34" t="n"/>
      <c r="G776" s="18" t="n"/>
      <c r="H776" s="35">
        <f>IF($F776="","",$F776*$G776/100)</f>
        <v/>
      </c>
      <c r="I776" s="18" t="n"/>
      <c r="J776" s="35">
        <f>IF($F776="","",$H776*$I776/100)</f>
        <v/>
      </c>
      <c r="K776" s="18" t="n"/>
      <c r="L776" s="35">
        <f>IF($F776="","",$F776*$K776/100)</f>
        <v/>
      </c>
      <c r="M776" s="20">
        <f>IF($A776="","",ROUNDUP(MONTH($A776)/3,0))</f>
        <v/>
      </c>
    </row>
    <row r="777">
      <c r="A777" s="33" t="n"/>
      <c r="B777" s="16" t="n"/>
      <c r="C777" s="16" t="n"/>
      <c r="D777" s="16" t="n"/>
      <c r="E777" s="16" t="n"/>
      <c r="F777" s="34" t="n"/>
      <c r="G777" s="18" t="n"/>
      <c r="H777" s="35">
        <f>IF($F777="","",$F777*$G777/100)</f>
        <v/>
      </c>
      <c r="I777" s="18" t="n"/>
      <c r="J777" s="35">
        <f>IF($F777="","",$H777*$I777/100)</f>
        <v/>
      </c>
      <c r="K777" s="18" t="n"/>
      <c r="L777" s="35">
        <f>IF($F777="","",$F777*$K777/100)</f>
        <v/>
      </c>
      <c r="M777" s="20">
        <f>IF($A777="","",ROUNDUP(MONTH($A777)/3,0))</f>
        <v/>
      </c>
    </row>
    <row r="778">
      <c r="A778" s="33" t="n"/>
      <c r="B778" s="16" t="n"/>
      <c r="C778" s="16" t="n"/>
      <c r="D778" s="16" t="n"/>
      <c r="E778" s="16" t="n"/>
      <c r="F778" s="34" t="n"/>
      <c r="G778" s="18" t="n"/>
      <c r="H778" s="35">
        <f>IF($F778="","",$F778*$G778/100)</f>
        <v/>
      </c>
      <c r="I778" s="18" t="n"/>
      <c r="J778" s="35">
        <f>IF($F778="","",$H778*$I778/100)</f>
        <v/>
      </c>
      <c r="K778" s="18" t="n"/>
      <c r="L778" s="35">
        <f>IF($F778="","",$F778*$K778/100)</f>
        <v/>
      </c>
      <c r="M778" s="20">
        <f>IF($A778="","",ROUNDUP(MONTH($A778)/3,0))</f>
        <v/>
      </c>
    </row>
    <row r="779">
      <c r="A779" s="33" t="n"/>
      <c r="B779" s="16" t="n"/>
      <c r="C779" s="16" t="n"/>
      <c r="D779" s="16" t="n"/>
      <c r="E779" s="16" t="n"/>
      <c r="F779" s="34" t="n"/>
      <c r="G779" s="18" t="n"/>
      <c r="H779" s="35">
        <f>IF($F779="","",$F779*$G779/100)</f>
        <v/>
      </c>
      <c r="I779" s="18" t="n"/>
      <c r="J779" s="35">
        <f>IF($F779="","",$H779*$I779/100)</f>
        <v/>
      </c>
      <c r="K779" s="18" t="n"/>
      <c r="L779" s="35">
        <f>IF($F779="","",$F779*$K779/100)</f>
        <v/>
      </c>
      <c r="M779" s="20">
        <f>IF($A779="","",ROUNDUP(MONTH($A779)/3,0))</f>
        <v/>
      </c>
    </row>
    <row r="780">
      <c r="A780" s="33" t="n"/>
      <c r="B780" s="16" t="n"/>
      <c r="C780" s="16" t="n"/>
      <c r="D780" s="16" t="n"/>
      <c r="E780" s="16" t="n"/>
      <c r="F780" s="34" t="n"/>
      <c r="G780" s="18" t="n"/>
      <c r="H780" s="35">
        <f>IF($F780="","",$F780*$G780/100)</f>
        <v/>
      </c>
      <c r="I780" s="18" t="n"/>
      <c r="J780" s="35">
        <f>IF($F780="","",$H780*$I780/100)</f>
        <v/>
      </c>
      <c r="K780" s="18" t="n"/>
      <c r="L780" s="35">
        <f>IF($F780="","",$F780*$K780/100)</f>
        <v/>
      </c>
      <c r="M780" s="20">
        <f>IF($A780="","",ROUNDUP(MONTH($A780)/3,0))</f>
        <v/>
      </c>
    </row>
    <row r="781">
      <c r="A781" s="33" t="n"/>
      <c r="B781" s="16" t="n"/>
      <c r="C781" s="16" t="n"/>
      <c r="D781" s="16" t="n"/>
      <c r="E781" s="16" t="n"/>
      <c r="F781" s="34" t="n"/>
      <c r="G781" s="18" t="n"/>
      <c r="H781" s="35">
        <f>IF($F781="","",$F781*$G781/100)</f>
        <v/>
      </c>
      <c r="I781" s="18" t="n"/>
      <c r="J781" s="35">
        <f>IF($F781="","",$H781*$I781/100)</f>
        <v/>
      </c>
      <c r="K781" s="18" t="n"/>
      <c r="L781" s="35">
        <f>IF($F781="","",$F781*$K781/100)</f>
        <v/>
      </c>
      <c r="M781" s="20">
        <f>IF($A781="","",ROUNDUP(MONTH($A781)/3,0))</f>
        <v/>
      </c>
    </row>
    <row r="782">
      <c r="A782" s="33" t="n"/>
      <c r="B782" s="16" t="n"/>
      <c r="C782" s="16" t="n"/>
      <c r="D782" s="16" t="n"/>
      <c r="E782" s="16" t="n"/>
      <c r="F782" s="34" t="n"/>
      <c r="G782" s="18" t="n"/>
      <c r="H782" s="35">
        <f>IF($F782="","",$F782*$G782/100)</f>
        <v/>
      </c>
      <c r="I782" s="18" t="n"/>
      <c r="J782" s="35">
        <f>IF($F782="","",$H782*$I782/100)</f>
        <v/>
      </c>
      <c r="K782" s="18" t="n"/>
      <c r="L782" s="35">
        <f>IF($F782="","",$F782*$K782/100)</f>
        <v/>
      </c>
      <c r="M782" s="20">
        <f>IF($A782="","",ROUNDUP(MONTH($A782)/3,0))</f>
        <v/>
      </c>
    </row>
    <row r="783">
      <c r="A783" s="33" t="n"/>
      <c r="B783" s="16" t="n"/>
      <c r="C783" s="16" t="n"/>
      <c r="D783" s="16" t="n"/>
      <c r="E783" s="16" t="n"/>
      <c r="F783" s="34" t="n"/>
      <c r="G783" s="18" t="n"/>
      <c r="H783" s="35">
        <f>IF($F783="","",$F783*$G783/100)</f>
        <v/>
      </c>
      <c r="I783" s="18" t="n"/>
      <c r="J783" s="35">
        <f>IF($F783="","",$H783*$I783/100)</f>
        <v/>
      </c>
      <c r="K783" s="18" t="n"/>
      <c r="L783" s="35">
        <f>IF($F783="","",$F783*$K783/100)</f>
        <v/>
      </c>
      <c r="M783" s="20">
        <f>IF($A783="","",ROUNDUP(MONTH($A783)/3,0))</f>
        <v/>
      </c>
    </row>
    <row r="784">
      <c r="A784" s="33" t="n"/>
      <c r="B784" s="16" t="n"/>
      <c r="C784" s="16" t="n"/>
      <c r="D784" s="16" t="n"/>
      <c r="E784" s="16" t="n"/>
      <c r="F784" s="34" t="n"/>
      <c r="G784" s="18" t="n"/>
      <c r="H784" s="35">
        <f>IF($F784="","",$F784*$G784/100)</f>
        <v/>
      </c>
      <c r="I784" s="18" t="n"/>
      <c r="J784" s="35">
        <f>IF($F784="","",$H784*$I784/100)</f>
        <v/>
      </c>
      <c r="K784" s="18" t="n"/>
      <c r="L784" s="35">
        <f>IF($F784="","",$F784*$K784/100)</f>
        <v/>
      </c>
      <c r="M784" s="20">
        <f>IF($A784="","",ROUNDUP(MONTH($A784)/3,0))</f>
        <v/>
      </c>
    </row>
    <row r="785">
      <c r="A785" s="33" t="n"/>
      <c r="B785" s="16" t="n"/>
      <c r="C785" s="16" t="n"/>
      <c r="D785" s="16" t="n"/>
      <c r="E785" s="16" t="n"/>
      <c r="F785" s="34" t="n"/>
      <c r="G785" s="18" t="n"/>
      <c r="H785" s="35">
        <f>IF($F785="","",$F785*$G785/100)</f>
        <v/>
      </c>
      <c r="I785" s="18" t="n"/>
      <c r="J785" s="35">
        <f>IF($F785="","",$H785*$I785/100)</f>
        <v/>
      </c>
      <c r="K785" s="18" t="n"/>
      <c r="L785" s="35">
        <f>IF($F785="","",$F785*$K785/100)</f>
        <v/>
      </c>
      <c r="M785" s="20">
        <f>IF($A785="","",ROUNDUP(MONTH($A785)/3,0))</f>
        <v/>
      </c>
    </row>
    <row r="786">
      <c r="A786" s="33" t="n"/>
      <c r="B786" s="16" t="n"/>
      <c r="C786" s="16" t="n"/>
      <c r="D786" s="16" t="n"/>
      <c r="E786" s="16" t="n"/>
      <c r="F786" s="34" t="n"/>
      <c r="G786" s="18" t="n"/>
      <c r="H786" s="35">
        <f>IF($F786="","",$F786*$G786/100)</f>
        <v/>
      </c>
      <c r="I786" s="18" t="n"/>
      <c r="J786" s="35">
        <f>IF($F786="","",$H786*$I786/100)</f>
        <v/>
      </c>
      <c r="K786" s="18" t="n"/>
      <c r="L786" s="35">
        <f>IF($F786="","",$F786*$K786/100)</f>
        <v/>
      </c>
      <c r="M786" s="20">
        <f>IF($A786="","",ROUNDUP(MONTH($A786)/3,0))</f>
        <v/>
      </c>
    </row>
    <row r="787">
      <c r="A787" s="33" t="n"/>
      <c r="B787" s="16" t="n"/>
      <c r="C787" s="16" t="n"/>
      <c r="D787" s="16" t="n"/>
      <c r="E787" s="16" t="n"/>
      <c r="F787" s="34" t="n"/>
      <c r="G787" s="18" t="n"/>
      <c r="H787" s="35">
        <f>IF($F787="","",$F787*$G787/100)</f>
        <v/>
      </c>
      <c r="I787" s="18" t="n"/>
      <c r="J787" s="35">
        <f>IF($F787="","",$H787*$I787/100)</f>
        <v/>
      </c>
      <c r="K787" s="18" t="n"/>
      <c r="L787" s="35">
        <f>IF($F787="","",$F787*$K787/100)</f>
        <v/>
      </c>
      <c r="M787" s="20">
        <f>IF($A787="","",ROUNDUP(MONTH($A787)/3,0))</f>
        <v/>
      </c>
    </row>
    <row r="788">
      <c r="A788" s="33" t="n"/>
      <c r="B788" s="16" t="n"/>
      <c r="C788" s="16" t="n"/>
      <c r="D788" s="16" t="n"/>
      <c r="E788" s="16" t="n"/>
      <c r="F788" s="34" t="n"/>
      <c r="G788" s="18" t="n"/>
      <c r="H788" s="35">
        <f>IF($F788="","",$F788*$G788/100)</f>
        <v/>
      </c>
      <c r="I788" s="18" t="n"/>
      <c r="J788" s="35">
        <f>IF($F788="","",$H788*$I788/100)</f>
        <v/>
      </c>
      <c r="K788" s="18" t="n"/>
      <c r="L788" s="35">
        <f>IF($F788="","",$F788*$K788/100)</f>
        <v/>
      </c>
      <c r="M788" s="20">
        <f>IF($A788="","",ROUNDUP(MONTH($A788)/3,0))</f>
        <v/>
      </c>
    </row>
    <row r="789">
      <c r="A789" s="33" t="n"/>
      <c r="B789" s="16" t="n"/>
      <c r="C789" s="16" t="n"/>
      <c r="D789" s="16" t="n"/>
      <c r="E789" s="16" t="n"/>
      <c r="F789" s="34" t="n"/>
      <c r="G789" s="18" t="n"/>
      <c r="H789" s="35">
        <f>IF($F789="","",$F789*$G789/100)</f>
        <v/>
      </c>
      <c r="I789" s="18" t="n"/>
      <c r="J789" s="35">
        <f>IF($F789="","",$H789*$I789/100)</f>
        <v/>
      </c>
      <c r="K789" s="18" t="n"/>
      <c r="L789" s="35">
        <f>IF($F789="","",$F789*$K789/100)</f>
        <v/>
      </c>
      <c r="M789" s="20">
        <f>IF($A789="","",ROUNDUP(MONTH($A789)/3,0))</f>
        <v/>
      </c>
    </row>
    <row r="790">
      <c r="A790" s="33" t="n"/>
      <c r="B790" s="16" t="n"/>
      <c r="C790" s="16" t="n"/>
      <c r="D790" s="16" t="n"/>
      <c r="E790" s="16" t="n"/>
      <c r="F790" s="34" t="n"/>
      <c r="G790" s="18" t="n"/>
      <c r="H790" s="35">
        <f>IF($F790="","",$F790*$G790/100)</f>
        <v/>
      </c>
      <c r="I790" s="18" t="n"/>
      <c r="J790" s="35">
        <f>IF($F790="","",$H790*$I790/100)</f>
        <v/>
      </c>
      <c r="K790" s="18" t="n"/>
      <c r="L790" s="35">
        <f>IF($F790="","",$F790*$K790/100)</f>
        <v/>
      </c>
      <c r="M790" s="20">
        <f>IF($A790="","",ROUNDUP(MONTH($A790)/3,0))</f>
        <v/>
      </c>
    </row>
    <row r="791">
      <c r="A791" s="33" t="n"/>
      <c r="B791" s="16" t="n"/>
      <c r="C791" s="16" t="n"/>
      <c r="D791" s="16" t="n"/>
      <c r="E791" s="16" t="n"/>
      <c r="F791" s="34" t="n"/>
      <c r="G791" s="18" t="n"/>
      <c r="H791" s="35">
        <f>IF($F791="","",$F791*$G791/100)</f>
        <v/>
      </c>
      <c r="I791" s="18" t="n"/>
      <c r="J791" s="35">
        <f>IF($F791="","",$H791*$I791/100)</f>
        <v/>
      </c>
      <c r="K791" s="18" t="n"/>
      <c r="L791" s="35">
        <f>IF($F791="","",$F791*$K791/100)</f>
        <v/>
      </c>
      <c r="M791" s="20">
        <f>IF($A791="","",ROUNDUP(MONTH($A791)/3,0))</f>
        <v/>
      </c>
    </row>
    <row r="792">
      <c r="A792" s="33" t="n"/>
      <c r="B792" s="16" t="n"/>
      <c r="C792" s="16" t="n"/>
      <c r="D792" s="16" t="n"/>
      <c r="E792" s="16" t="n"/>
      <c r="F792" s="34" t="n"/>
      <c r="G792" s="18" t="n"/>
      <c r="H792" s="35">
        <f>IF($F792="","",$F792*$G792/100)</f>
        <v/>
      </c>
      <c r="I792" s="18" t="n"/>
      <c r="J792" s="35">
        <f>IF($F792="","",$H792*$I792/100)</f>
        <v/>
      </c>
      <c r="K792" s="18" t="n"/>
      <c r="L792" s="35">
        <f>IF($F792="","",$F792*$K792/100)</f>
        <v/>
      </c>
      <c r="M792" s="20">
        <f>IF($A792="","",ROUNDUP(MONTH($A792)/3,0))</f>
        <v/>
      </c>
    </row>
    <row r="793">
      <c r="A793" s="33" t="n"/>
      <c r="B793" s="16" t="n"/>
      <c r="C793" s="16" t="n"/>
      <c r="D793" s="16" t="n"/>
      <c r="E793" s="16" t="n"/>
      <c r="F793" s="34" t="n"/>
      <c r="G793" s="18" t="n"/>
      <c r="H793" s="35">
        <f>IF($F793="","",$F793*$G793/100)</f>
        <v/>
      </c>
      <c r="I793" s="18" t="n"/>
      <c r="J793" s="35">
        <f>IF($F793="","",$H793*$I793/100)</f>
        <v/>
      </c>
      <c r="K793" s="18" t="n"/>
      <c r="L793" s="35">
        <f>IF($F793="","",$F793*$K793/100)</f>
        <v/>
      </c>
      <c r="M793" s="20">
        <f>IF($A793="","",ROUNDUP(MONTH($A793)/3,0))</f>
        <v/>
      </c>
    </row>
    <row r="794">
      <c r="A794" s="33" t="n"/>
      <c r="B794" s="16" t="n"/>
      <c r="C794" s="16" t="n"/>
      <c r="D794" s="16" t="n"/>
      <c r="E794" s="16" t="n"/>
      <c r="F794" s="34" t="n"/>
      <c r="G794" s="18" t="n"/>
      <c r="H794" s="35">
        <f>IF($F794="","",$F794*$G794/100)</f>
        <v/>
      </c>
      <c r="I794" s="18" t="n"/>
      <c r="J794" s="35">
        <f>IF($F794="","",$H794*$I794/100)</f>
        <v/>
      </c>
      <c r="K794" s="18" t="n"/>
      <c r="L794" s="35">
        <f>IF($F794="","",$F794*$K794/100)</f>
        <v/>
      </c>
      <c r="M794" s="20">
        <f>IF($A794="","",ROUNDUP(MONTH($A794)/3,0))</f>
        <v/>
      </c>
    </row>
    <row r="795">
      <c r="A795" s="33" t="n"/>
      <c r="B795" s="16" t="n"/>
      <c r="C795" s="16" t="n"/>
      <c r="D795" s="16" t="n"/>
      <c r="E795" s="16" t="n"/>
      <c r="F795" s="34" t="n"/>
      <c r="G795" s="18" t="n"/>
      <c r="H795" s="35">
        <f>IF($F795="","",$F795*$G795/100)</f>
        <v/>
      </c>
      <c r="I795" s="18" t="n"/>
      <c r="J795" s="35">
        <f>IF($F795="","",$H795*$I795/100)</f>
        <v/>
      </c>
      <c r="K795" s="18" t="n"/>
      <c r="L795" s="35">
        <f>IF($F795="","",$F795*$K795/100)</f>
        <v/>
      </c>
      <c r="M795" s="20">
        <f>IF($A795="","",ROUNDUP(MONTH($A795)/3,0))</f>
        <v/>
      </c>
    </row>
    <row r="796">
      <c r="A796" s="33" t="n"/>
      <c r="B796" s="16" t="n"/>
      <c r="C796" s="16" t="n"/>
      <c r="D796" s="16" t="n"/>
      <c r="E796" s="16" t="n"/>
      <c r="F796" s="34" t="n"/>
      <c r="G796" s="18" t="n"/>
      <c r="H796" s="35">
        <f>IF($F796="","",$F796*$G796/100)</f>
        <v/>
      </c>
      <c r="I796" s="18" t="n"/>
      <c r="J796" s="35">
        <f>IF($F796="","",$H796*$I796/100)</f>
        <v/>
      </c>
      <c r="K796" s="18" t="n"/>
      <c r="L796" s="35">
        <f>IF($F796="","",$F796*$K796/100)</f>
        <v/>
      </c>
      <c r="M796" s="20">
        <f>IF($A796="","",ROUNDUP(MONTH($A796)/3,0))</f>
        <v/>
      </c>
    </row>
    <row r="797">
      <c r="A797" s="33" t="n"/>
      <c r="B797" s="16" t="n"/>
      <c r="C797" s="16" t="n"/>
      <c r="D797" s="16" t="n"/>
      <c r="E797" s="16" t="n"/>
      <c r="F797" s="34" t="n"/>
      <c r="G797" s="18" t="n"/>
      <c r="H797" s="35">
        <f>IF($F797="","",$F797*$G797/100)</f>
        <v/>
      </c>
      <c r="I797" s="18" t="n"/>
      <c r="J797" s="35">
        <f>IF($F797="","",$H797*$I797/100)</f>
        <v/>
      </c>
      <c r="K797" s="18" t="n"/>
      <c r="L797" s="35">
        <f>IF($F797="","",$F797*$K797/100)</f>
        <v/>
      </c>
      <c r="M797" s="20">
        <f>IF($A797="","",ROUNDUP(MONTH($A797)/3,0))</f>
        <v/>
      </c>
    </row>
    <row r="798">
      <c r="A798" s="33" t="n"/>
      <c r="B798" s="16" t="n"/>
      <c r="C798" s="16" t="n"/>
      <c r="D798" s="16" t="n"/>
      <c r="E798" s="16" t="n"/>
      <c r="F798" s="34" t="n"/>
      <c r="G798" s="18" t="n"/>
      <c r="H798" s="35">
        <f>IF($F798="","",$F798*$G798/100)</f>
        <v/>
      </c>
      <c r="I798" s="18" t="n"/>
      <c r="J798" s="35">
        <f>IF($F798="","",$H798*$I798/100)</f>
        <v/>
      </c>
      <c r="K798" s="18" t="n"/>
      <c r="L798" s="35">
        <f>IF($F798="","",$F798*$K798/100)</f>
        <v/>
      </c>
      <c r="M798" s="20">
        <f>IF($A798="","",ROUNDUP(MONTH($A798)/3,0))</f>
        <v/>
      </c>
    </row>
    <row r="799">
      <c r="A799" s="33" t="n"/>
      <c r="B799" s="16" t="n"/>
      <c r="C799" s="16" t="n"/>
      <c r="D799" s="16" t="n"/>
      <c r="E799" s="16" t="n"/>
      <c r="F799" s="34" t="n"/>
      <c r="G799" s="18" t="n"/>
      <c r="H799" s="35">
        <f>IF($F799="","",$F799*$G799/100)</f>
        <v/>
      </c>
      <c r="I799" s="18" t="n"/>
      <c r="J799" s="35">
        <f>IF($F799="","",$H799*$I799/100)</f>
        <v/>
      </c>
      <c r="K799" s="18" t="n"/>
      <c r="L799" s="35">
        <f>IF($F799="","",$F799*$K799/100)</f>
        <v/>
      </c>
      <c r="M799" s="20">
        <f>IF($A799="","",ROUNDUP(MONTH($A799)/3,0))</f>
        <v/>
      </c>
    </row>
    <row r="800">
      <c r="A800" s="33" t="n"/>
      <c r="B800" s="16" t="n"/>
      <c r="C800" s="16" t="n"/>
      <c r="D800" s="16" t="n"/>
      <c r="E800" s="16" t="n"/>
      <c r="F800" s="34" t="n"/>
      <c r="G800" s="18" t="n"/>
      <c r="H800" s="35">
        <f>IF($F800="","",$F800*$G800/100)</f>
        <v/>
      </c>
      <c r="I800" s="18" t="n"/>
      <c r="J800" s="35">
        <f>IF($F800="","",$H800*$I800/100)</f>
        <v/>
      </c>
      <c r="K800" s="18" t="n"/>
      <c r="L800" s="35">
        <f>IF($F800="","",$F800*$K800/100)</f>
        <v/>
      </c>
      <c r="M800" s="20">
        <f>IF($A800="","",ROUNDUP(MONTH($A800)/3,0))</f>
        <v/>
      </c>
    </row>
    <row r="801">
      <c r="A801" s="33" t="n"/>
      <c r="B801" s="16" t="n"/>
      <c r="C801" s="16" t="n"/>
      <c r="D801" s="16" t="n"/>
      <c r="E801" s="16" t="n"/>
      <c r="F801" s="34" t="n"/>
      <c r="G801" s="18" t="n"/>
      <c r="H801" s="35">
        <f>IF($F801="","",$F801*$G801/100)</f>
        <v/>
      </c>
      <c r="I801" s="18" t="n"/>
      <c r="J801" s="35">
        <f>IF($F801="","",$H801*$I801/100)</f>
        <v/>
      </c>
      <c r="K801" s="18" t="n"/>
      <c r="L801" s="35">
        <f>IF($F801="","",$F801*$K801/100)</f>
        <v/>
      </c>
      <c r="M801" s="20">
        <f>IF($A801="","",ROUNDUP(MONTH($A801)/3,0))</f>
        <v/>
      </c>
    </row>
    <row r="802">
      <c r="A802" s="33" t="n"/>
      <c r="B802" s="16" t="n"/>
      <c r="C802" s="16" t="n"/>
      <c r="D802" s="16" t="n"/>
      <c r="E802" s="16" t="n"/>
      <c r="F802" s="34" t="n"/>
      <c r="G802" s="18" t="n"/>
      <c r="H802" s="35">
        <f>IF($F802="","",$F802*$G802/100)</f>
        <v/>
      </c>
      <c r="I802" s="18" t="n"/>
      <c r="J802" s="35">
        <f>IF($F802="","",$H802*$I802/100)</f>
        <v/>
      </c>
      <c r="K802" s="18" t="n"/>
      <c r="L802" s="35">
        <f>IF($F802="","",$F802*$K802/100)</f>
        <v/>
      </c>
      <c r="M802" s="20">
        <f>IF($A802="","",ROUNDUP(MONTH($A802)/3,0))</f>
        <v/>
      </c>
    </row>
    <row r="803">
      <c r="A803" s="33" t="n"/>
      <c r="B803" s="16" t="n"/>
      <c r="C803" s="16" t="n"/>
      <c r="D803" s="16" t="n"/>
      <c r="E803" s="16" t="n"/>
      <c r="F803" s="34" t="n"/>
      <c r="G803" s="18" t="n"/>
      <c r="H803" s="35">
        <f>IF($F803="","",$F803*$G803/100)</f>
        <v/>
      </c>
      <c r="I803" s="18" t="n"/>
      <c r="J803" s="35">
        <f>IF($F803="","",$H803*$I803/100)</f>
        <v/>
      </c>
      <c r="K803" s="18" t="n"/>
      <c r="L803" s="35">
        <f>IF($F803="","",$F803*$K803/100)</f>
        <v/>
      </c>
      <c r="M803" s="20">
        <f>IF($A803="","",ROUNDUP(MONTH($A803)/3,0))</f>
        <v/>
      </c>
    </row>
    <row r="804">
      <c r="A804" s="33" t="n"/>
      <c r="B804" s="16" t="n"/>
      <c r="C804" s="16" t="n"/>
      <c r="D804" s="16" t="n"/>
      <c r="E804" s="16" t="n"/>
      <c r="F804" s="34" t="n"/>
      <c r="G804" s="18" t="n"/>
      <c r="H804" s="35">
        <f>IF($F804="","",$F804*$G804/100)</f>
        <v/>
      </c>
      <c r="I804" s="18" t="n"/>
      <c r="J804" s="35">
        <f>IF($F804="","",$H804*$I804/100)</f>
        <v/>
      </c>
      <c r="K804" s="18" t="n"/>
      <c r="L804" s="35">
        <f>IF($F804="","",$F804*$K804/100)</f>
        <v/>
      </c>
      <c r="M804" s="20">
        <f>IF($A804="","",ROUNDUP(MONTH($A804)/3,0))</f>
        <v/>
      </c>
    </row>
    <row r="805">
      <c r="A805" s="33" t="n"/>
      <c r="B805" s="16" t="n"/>
      <c r="C805" s="16" t="n"/>
      <c r="D805" s="16" t="n"/>
      <c r="E805" s="16" t="n"/>
      <c r="F805" s="34" t="n"/>
      <c r="G805" s="18" t="n"/>
      <c r="H805" s="35">
        <f>IF($F805="","",$F805*$G805/100)</f>
        <v/>
      </c>
      <c r="I805" s="18" t="n"/>
      <c r="J805" s="35">
        <f>IF($F805="","",$H805*$I805/100)</f>
        <v/>
      </c>
      <c r="K805" s="18" t="n"/>
      <c r="L805" s="35">
        <f>IF($F805="","",$F805*$K805/100)</f>
        <v/>
      </c>
      <c r="M805" s="20">
        <f>IF($A805="","",ROUNDUP(MONTH($A805)/3,0))</f>
        <v/>
      </c>
    </row>
    <row r="806">
      <c r="A806" s="33" t="n"/>
      <c r="B806" s="16" t="n"/>
      <c r="C806" s="16" t="n"/>
      <c r="D806" s="16" t="n"/>
      <c r="E806" s="16" t="n"/>
      <c r="F806" s="34" t="n"/>
      <c r="G806" s="18" t="n"/>
      <c r="H806" s="35">
        <f>IF($F806="","",$F806*$G806/100)</f>
        <v/>
      </c>
      <c r="I806" s="18" t="n"/>
      <c r="J806" s="35">
        <f>IF($F806="","",$H806*$I806/100)</f>
        <v/>
      </c>
      <c r="K806" s="18" t="n"/>
      <c r="L806" s="35">
        <f>IF($F806="","",$F806*$K806/100)</f>
        <v/>
      </c>
      <c r="M806" s="20">
        <f>IF($A806="","",ROUNDUP(MONTH($A806)/3,0))</f>
        <v/>
      </c>
    </row>
    <row r="807">
      <c r="A807" s="33" t="n"/>
      <c r="B807" s="16" t="n"/>
      <c r="C807" s="16" t="n"/>
      <c r="D807" s="16" t="n"/>
      <c r="E807" s="16" t="n"/>
      <c r="F807" s="34" t="n"/>
      <c r="G807" s="18" t="n"/>
      <c r="H807" s="35">
        <f>IF($F807="","",$F807*$G807/100)</f>
        <v/>
      </c>
      <c r="I807" s="18" t="n"/>
      <c r="J807" s="35">
        <f>IF($F807="","",$H807*$I807/100)</f>
        <v/>
      </c>
      <c r="K807" s="18" t="n"/>
      <c r="L807" s="35">
        <f>IF($F807="","",$F807*$K807/100)</f>
        <v/>
      </c>
      <c r="M807" s="20">
        <f>IF($A807="","",ROUNDUP(MONTH($A807)/3,0))</f>
        <v/>
      </c>
    </row>
    <row r="808">
      <c r="A808" s="33" t="n"/>
      <c r="B808" s="16" t="n"/>
      <c r="C808" s="16" t="n"/>
      <c r="D808" s="16" t="n"/>
      <c r="E808" s="16" t="n"/>
      <c r="F808" s="34" t="n"/>
      <c r="G808" s="18" t="n"/>
      <c r="H808" s="35">
        <f>IF($F808="","",$F808*$G808/100)</f>
        <v/>
      </c>
      <c r="I808" s="18" t="n"/>
      <c r="J808" s="35">
        <f>IF($F808="","",$H808*$I808/100)</f>
        <v/>
      </c>
      <c r="K808" s="18" t="n"/>
      <c r="L808" s="35">
        <f>IF($F808="","",$F808*$K808/100)</f>
        <v/>
      </c>
      <c r="M808" s="20">
        <f>IF($A808="","",ROUNDUP(MONTH($A808)/3,0))</f>
        <v/>
      </c>
    </row>
    <row r="809">
      <c r="A809" s="33" t="n"/>
      <c r="B809" s="16" t="n"/>
      <c r="C809" s="16" t="n"/>
      <c r="D809" s="16" t="n"/>
      <c r="E809" s="16" t="n"/>
      <c r="F809" s="34" t="n"/>
      <c r="G809" s="18" t="n"/>
      <c r="H809" s="35">
        <f>IF($F809="","",$F809*$G809/100)</f>
        <v/>
      </c>
      <c r="I809" s="18" t="n"/>
      <c r="J809" s="35">
        <f>IF($F809="","",$H809*$I809/100)</f>
        <v/>
      </c>
      <c r="K809" s="18" t="n"/>
      <c r="L809" s="35">
        <f>IF($F809="","",$F809*$K809/100)</f>
        <v/>
      </c>
      <c r="M809" s="20">
        <f>IF($A809="","",ROUNDUP(MONTH($A809)/3,0))</f>
        <v/>
      </c>
    </row>
    <row r="810">
      <c r="A810" s="33" t="n"/>
      <c r="B810" s="16" t="n"/>
      <c r="C810" s="16" t="n"/>
      <c r="D810" s="16" t="n"/>
      <c r="E810" s="16" t="n"/>
      <c r="F810" s="34" t="n"/>
      <c r="G810" s="18" t="n"/>
      <c r="H810" s="35">
        <f>IF($F810="","",$F810*$G810/100)</f>
        <v/>
      </c>
      <c r="I810" s="18" t="n"/>
      <c r="J810" s="35">
        <f>IF($F810="","",$H810*$I810/100)</f>
        <v/>
      </c>
      <c r="K810" s="18" t="n"/>
      <c r="L810" s="35">
        <f>IF($F810="","",$F810*$K810/100)</f>
        <v/>
      </c>
      <c r="M810" s="20">
        <f>IF($A810="","",ROUNDUP(MONTH($A810)/3,0))</f>
        <v/>
      </c>
    </row>
    <row r="811">
      <c r="A811" s="33" t="n"/>
      <c r="B811" s="16" t="n"/>
      <c r="C811" s="16" t="n"/>
      <c r="D811" s="16" t="n"/>
      <c r="E811" s="16" t="n"/>
      <c r="F811" s="34" t="n"/>
      <c r="G811" s="18" t="n"/>
      <c r="H811" s="35">
        <f>IF($F811="","",$F811*$G811/100)</f>
        <v/>
      </c>
      <c r="I811" s="18" t="n"/>
      <c r="J811" s="35">
        <f>IF($F811="","",$H811*$I811/100)</f>
        <v/>
      </c>
      <c r="K811" s="18" t="n"/>
      <c r="L811" s="35">
        <f>IF($F811="","",$F811*$K811/100)</f>
        <v/>
      </c>
      <c r="M811" s="20">
        <f>IF($A811="","",ROUNDUP(MONTH($A811)/3,0))</f>
        <v/>
      </c>
    </row>
    <row r="812">
      <c r="A812" s="33" t="n"/>
      <c r="B812" s="16" t="n"/>
      <c r="C812" s="16" t="n"/>
      <c r="D812" s="16" t="n"/>
      <c r="E812" s="16" t="n"/>
      <c r="F812" s="34" t="n"/>
      <c r="G812" s="18" t="n"/>
      <c r="H812" s="35">
        <f>IF($F812="","",$F812*$G812/100)</f>
        <v/>
      </c>
      <c r="I812" s="18" t="n"/>
      <c r="J812" s="35">
        <f>IF($F812="","",$H812*$I812/100)</f>
        <v/>
      </c>
      <c r="K812" s="18" t="n"/>
      <c r="L812" s="35">
        <f>IF($F812="","",$F812*$K812/100)</f>
        <v/>
      </c>
      <c r="M812" s="20">
        <f>IF($A812="","",ROUNDUP(MONTH($A812)/3,0))</f>
        <v/>
      </c>
    </row>
    <row r="813">
      <c r="A813" s="33" t="n"/>
      <c r="B813" s="16" t="n"/>
      <c r="C813" s="16" t="n"/>
      <c r="D813" s="16" t="n"/>
      <c r="E813" s="16" t="n"/>
      <c r="F813" s="34" t="n"/>
      <c r="G813" s="18" t="n"/>
      <c r="H813" s="35">
        <f>IF($F813="","",$F813*$G813/100)</f>
        <v/>
      </c>
      <c r="I813" s="18" t="n"/>
      <c r="J813" s="35">
        <f>IF($F813="","",$H813*$I813/100)</f>
        <v/>
      </c>
      <c r="K813" s="18" t="n"/>
      <c r="L813" s="35">
        <f>IF($F813="","",$F813*$K813/100)</f>
        <v/>
      </c>
      <c r="M813" s="20">
        <f>IF($A813="","",ROUNDUP(MONTH($A813)/3,0))</f>
        <v/>
      </c>
    </row>
    <row r="814">
      <c r="A814" s="33" t="n"/>
      <c r="B814" s="16" t="n"/>
      <c r="C814" s="16" t="n"/>
      <c r="D814" s="16" t="n"/>
      <c r="E814" s="16" t="n"/>
      <c r="F814" s="34" t="n"/>
      <c r="G814" s="18" t="n"/>
      <c r="H814" s="35">
        <f>IF($F814="","",$F814*$G814/100)</f>
        <v/>
      </c>
      <c r="I814" s="18" t="n"/>
      <c r="J814" s="35">
        <f>IF($F814="","",$H814*$I814/100)</f>
        <v/>
      </c>
      <c r="K814" s="18" t="n"/>
      <c r="L814" s="35">
        <f>IF($F814="","",$F814*$K814/100)</f>
        <v/>
      </c>
      <c r="M814" s="20">
        <f>IF($A814="","",ROUNDUP(MONTH($A814)/3,0))</f>
        <v/>
      </c>
    </row>
    <row r="815">
      <c r="A815" s="33" t="n"/>
      <c r="B815" s="16" t="n"/>
      <c r="C815" s="16" t="n"/>
      <c r="D815" s="16" t="n"/>
      <c r="E815" s="16" t="n"/>
      <c r="F815" s="34" t="n"/>
      <c r="G815" s="18" t="n"/>
      <c r="H815" s="35">
        <f>IF($F815="","",$F815*$G815/100)</f>
        <v/>
      </c>
      <c r="I815" s="18" t="n"/>
      <c r="J815" s="35">
        <f>IF($F815="","",$H815*$I815/100)</f>
        <v/>
      </c>
      <c r="K815" s="18" t="n"/>
      <c r="L815" s="35">
        <f>IF($F815="","",$F815*$K815/100)</f>
        <v/>
      </c>
      <c r="M815" s="20">
        <f>IF($A815="","",ROUNDUP(MONTH($A815)/3,0))</f>
        <v/>
      </c>
    </row>
    <row r="816">
      <c r="A816" s="33" t="n"/>
      <c r="B816" s="16" t="n"/>
      <c r="C816" s="16" t="n"/>
      <c r="D816" s="16" t="n"/>
      <c r="E816" s="16" t="n"/>
      <c r="F816" s="34" t="n"/>
      <c r="G816" s="18" t="n"/>
      <c r="H816" s="35">
        <f>IF($F816="","",$F816*$G816/100)</f>
        <v/>
      </c>
      <c r="I816" s="18" t="n"/>
      <c r="J816" s="35">
        <f>IF($F816="","",$H816*$I816/100)</f>
        <v/>
      </c>
      <c r="K816" s="18" t="n"/>
      <c r="L816" s="35">
        <f>IF($F816="","",$F816*$K816/100)</f>
        <v/>
      </c>
      <c r="M816" s="20">
        <f>IF($A816="","",ROUNDUP(MONTH($A816)/3,0))</f>
        <v/>
      </c>
    </row>
    <row r="817">
      <c r="A817" s="33" t="n"/>
      <c r="B817" s="16" t="n"/>
      <c r="C817" s="16" t="n"/>
      <c r="D817" s="16" t="n"/>
      <c r="E817" s="16" t="n"/>
      <c r="F817" s="34" t="n"/>
      <c r="G817" s="18" t="n"/>
      <c r="H817" s="35">
        <f>IF($F817="","",$F817*$G817/100)</f>
        <v/>
      </c>
      <c r="I817" s="18" t="n"/>
      <c r="J817" s="35">
        <f>IF($F817="","",$H817*$I817/100)</f>
        <v/>
      </c>
      <c r="K817" s="18" t="n"/>
      <c r="L817" s="35">
        <f>IF($F817="","",$F817*$K817/100)</f>
        <v/>
      </c>
      <c r="M817" s="20">
        <f>IF($A817="","",ROUNDUP(MONTH($A817)/3,0))</f>
        <v/>
      </c>
    </row>
    <row r="818">
      <c r="A818" s="33" t="n"/>
      <c r="B818" s="16" t="n"/>
      <c r="C818" s="16" t="n"/>
      <c r="D818" s="16" t="n"/>
      <c r="E818" s="16" t="n"/>
      <c r="F818" s="34" t="n"/>
      <c r="G818" s="18" t="n"/>
      <c r="H818" s="35">
        <f>IF($F818="","",$F818*$G818/100)</f>
        <v/>
      </c>
      <c r="I818" s="18" t="n"/>
      <c r="J818" s="35">
        <f>IF($F818="","",$H818*$I818/100)</f>
        <v/>
      </c>
      <c r="K818" s="18" t="n"/>
      <c r="L818" s="35">
        <f>IF($F818="","",$F818*$K818/100)</f>
        <v/>
      </c>
      <c r="M818" s="20">
        <f>IF($A818="","",ROUNDUP(MONTH($A818)/3,0))</f>
        <v/>
      </c>
    </row>
    <row r="819">
      <c r="A819" s="33" t="n"/>
      <c r="B819" s="16" t="n"/>
      <c r="C819" s="16" t="n"/>
      <c r="D819" s="16" t="n"/>
      <c r="E819" s="16" t="n"/>
      <c r="F819" s="34" t="n"/>
      <c r="G819" s="18" t="n"/>
      <c r="H819" s="35">
        <f>IF($F819="","",$F819*$G819/100)</f>
        <v/>
      </c>
      <c r="I819" s="18" t="n"/>
      <c r="J819" s="35">
        <f>IF($F819="","",$H819*$I819/100)</f>
        <v/>
      </c>
      <c r="K819" s="18" t="n"/>
      <c r="L819" s="35">
        <f>IF($F819="","",$F819*$K819/100)</f>
        <v/>
      </c>
      <c r="M819" s="20">
        <f>IF($A819="","",ROUNDUP(MONTH($A819)/3,0))</f>
        <v/>
      </c>
    </row>
    <row r="820">
      <c r="A820" s="33" t="n"/>
      <c r="B820" s="16" t="n"/>
      <c r="C820" s="16" t="n"/>
      <c r="D820" s="16" t="n"/>
      <c r="E820" s="16" t="n"/>
      <c r="F820" s="34" t="n"/>
      <c r="G820" s="18" t="n"/>
      <c r="H820" s="35">
        <f>IF($F820="","",$F820*$G820/100)</f>
        <v/>
      </c>
      <c r="I820" s="18" t="n"/>
      <c r="J820" s="35">
        <f>IF($F820="","",$H820*$I820/100)</f>
        <v/>
      </c>
      <c r="K820" s="18" t="n"/>
      <c r="L820" s="35">
        <f>IF($F820="","",$F820*$K820/100)</f>
        <v/>
      </c>
      <c r="M820" s="20">
        <f>IF($A820="","",ROUNDUP(MONTH($A820)/3,0))</f>
        <v/>
      </c>
    </row>
    <row r="821">
      <c r="A821" s="33" t="n"/>
      <c r="B821" s="16" t="n"/>
      <c r="C821" s="16" t="n"/>
      <c r="D821" s="16" t="n"/>
      <c r="E821" s="16" t="n"/>
      <c r="F821" s="34" t="n"/>
      <c r="G821" s="18" t="n"/>
      <c r="H821" s="35">
        <f>IF($F821="","",$F821*$G821/100)</f>
        <v/>
      </c>
      <c r="I821" s="18" t="n"/>
      <c r="J821" s="35">
        <f>IF($F821="","",$H821*$I821/100)</f>
        <v/>
      </c>
      <c r="K821" s="18" t="n"/>
      <c r="L821" s="35">
        <f>IF($F821="","",$F821*$K821/100)</f>
        <v/>
      </c>
      <c r="M821" s="20">
        <f>IF($A821="","",ROUNDUP(MONTH($A821)/3,0))</f>
        <v/>
      </c>
    </row>
    <row r="822">
      <c r="A822" s="33" t="n"/>
      <c r="B822" s="16" t="n"/>
      <c r="C822" s="16" t="n"/>
      <c r="D822" s="16" t="n"/>
      <c r="E822" s="16" t="n"/>
      <c r="F822" s="34" t="n"/>
      <c r="G822" s="18" t="n"/>
      <c r="H822" s="35">
        <f>IF($F822="","",$F822*$G822/100)</f>
        <v/>
      </c>
      <c r="I822" s="18" t="n"/>
      <c r="J822" s="35">
        <f>IF($F822="","",$H822*$I822/100)</f>
        <v/>
      </c>
      <c r="K822" s="18" t="n"/>
      <c r="L822" s="35">
        <f>IF($F822="","",$F822*$K822/100)</f>
        <v/>
      </c>
      <c r="M822" s="20">
        <f>IF($A822="","",ROUNDUP(MONTH($A822)/3,0))</f>
        <v/>
      </c>
    </row>
    <row r="823">
      <c r="A823" s="33" t="n"/>
      <c r="B823" s="16" t="n"/>
      <c r="C823" s="16" t="n"/>
      <c r="D823" s="16" t="n"/>
      <c r="E823" s="16" t="n"/>
      <c r="F823" s="34" t="n"/>
      <c r="G823" s="18" t="n"/>
      <c r="H823" s="35">
        <f>IF($F823="","",$F823*$G823/100)</f>
        <v/>
      </c>
      <c r="I823" s="18" t="n"/>
      <c r="J823" s="35">
        <f>IF($F823="","",$H823*$I823/100)</f>
        <v/>
      </c>
      <c r="K823" s="18" t="n"/>
      <c r="L823" s="35">
        <f>IF($F823="","",$F823*$K823/100)</f>
        <v/>
      </c>
      <c r="M823" s="20">
        <f>IF($A823="","",ROUNDUP(MONTH($A823)/3,0))</f>
        <v/>
      </c>
    </row>
    <row r="824">
      <c r="A824" s="33" t="n"/>
      <c r="B824" s="16" t="n"/>
      <c r="C824" s="16" t="n"/>
      <c r="D824" s="16" t="n"/>
      <c r="E824" s="16" t="n"/>
      <c r="F824" s="34" t="n"/>
      <c r="G824" s="18" t="n"/>
      <c r="H824" s="35">
        <f>IF($F824="","",$F824*$G824/100)</f>
        <v/>
      </c>
      <c r="I824" s="18" t="n"/>
      <c r="J824" s="35">
        <f>IF($F824="","",$H824*$I824/100)</f>
        <v/>
      </c>
      <c r="K824" s="18" t="n"/>
      <c r="L824" s="35">
        <f>IF($F824="","",$F824*$K824/100)</f>
        <v/>
      </c>
      <c r="M824" s="20">
        <f>IF($A824="","",ROUNDUP(MONTH($A824)/3,0))</f>
        <v/>
      </c>
    </row>
    <row r="825">
      <c r="A825" s="33" t="n"/>
      <c r="B825" s="16" t="n"/>
      <c r="C825" s="16" t="n"/>
      <c r="D825" s="16" t="n"/>
      <c r="E825" s="16" t="n"/>
      <c r="F825" s="34" t="n"/>
      <c r="G825" s="18" t="n"/>
      <c r="H825" s="35">
        <f>IF($F825="","",$F825*$G825/100)</f>
        <v/>
      </c>
      <c r="I825" s="18" t="n"/>
      <c r="J825" s="35">
        <f>IF($F825="","",$H825*$I825/100)</f>
        <v/>
      </c>
      <c r="K825" s="18" t="n"/>
      <c r="L825" s="35">
        <f>IF($F825="","",$F825*$K825/100)</f>
        <v/>
      </c>
      <c r="M825" s="20">
        <f>IF($A825="","",ROUNDUP(MONTH($A825)/3,0))</f>
        <v/>
      </c>
    </row>
    <row r="826">
      <c r="A826" s="33" t="n"/>
      <c r="B826" s="16" t="n"/>
      <c r="C826" s="16" t="n"/>
      <c r="D826" s="16" t="n"/>
      <c r="E826" s="16" t="n"/>
      <c r="F826" s="34" t="n"/>
      <c r="G826" s="18" t="n"/>
      <c r="H826" s="35">
        <f>IF($F826="","",$F826*$G826/100)</f>
        <v/>
      </c>
      <c r="I826" s="18" t="n"/>
      <c r="J826" s="35">
        <f>IF($F826="","",$H826*$I826/100)</f>
        <v/>
      </c>
      <c r="K826" s="18" t="n"/>
      <c r="L826" s="35">
        <f>IF($F826="","",$F826*$K826/100)</f>
        <v/>
      </c>
      <c r="M826" s="20">
        <f>IF($A826="","",ROUNDUP(MONTH($A826)/3,0))</f>
        <v/>
      </c>
    </row>
    <row r="827">
      <c r="A827" s="33" t="n"/>
      <c r="B827" s="16" t="n"/>
      <c r="C827" s="16" t="n"/>
      <c r="D827" s="16" t="n"/>
      <c r="E827" s="16" t="n"/>
      <c r="F827" s="34" t="n"/>
      <c r="G827" s="18" t="n"/>
      <c r="H827" s="35">
        <f>IF($F827="","",$F827*$G827/100)</f>
        <v/>
      </c>
      <c r="I827" s="18" t="n"/>
      <c r="J827" s="35">
        <f>IF($F827="","",$H827*$I827/100)</f>
        <v/>
      </c>
      <c r="K827" s="18" t="n"/>
      <c r="L827" s="35">
        <f>IF($F827="","",$F827*$K827/100)</f>
        <v/>
      </c>
      <c r="M827" s="20">
        <f>IF($A827="","",ROUNDUP(MONTH($A827)/3,0))</f>
        <v/>
      </c>
    </row>
    <row r="828">
      <c r="A828" s="33" t="n"/>
      <c r="B828" s="16" t="n"/>
      <c r="C828" s="16" t="n"/>
      <c r="D828" s="16" t="n"/>
      <c r="E828" s="16" t="n"/>
      <c r="F828" s="34" t="n"/>
      <c r="G828" s="18" t="n"/>
      <c r="H828" s="35">
        <f>IF($F828="","",$F828*$G828/100)</f>
        <v/>
      </c>
      <c r="I828" s="18" t="n"/>
      <c r="J828" s="35">
        <f>IF($F828="","",$H828*$I828/100)</f>
        <v/>
      </c>
      <c r="K828" s="18" t="n"/>
      <c r="L828" s="35">
        <f>IF($F828="","",$F828*$K828/100)</f>
        <v/>
      </c>
      <c r="M828" s="20">
        <f>IF($A828="","",ROUNDUP(MONTH($A828)/3,0))</f>
        <v/>
      </c>
    </row>
    <row r="829">
      <c r="A829" s="33" t="n"/>
      <c r="B829" s="16" t="n"/>
      <c r="C829" s="16" t="n"/>
      <c r="D829" s="16" t="n"/>
      <c r="E829" s="16" t="n"/>
      <c r="F829" s="34" t="n"/>
      <c r="G829" s="18" t="n"/>
      <c r="H829" s="35">
        <f>IF($F829="","",$F829*$G829/100)</f>
        <v/>
      </c>
      <c r="I829" s="18" t="n"/>
      <c r="J829" s="35">
        <f>IF($F829="","",$H829*$I829/100)</f>
        <v/>
      </c>
      <c r="K829" s="18" t="n"/>
      <c r="L829" s="35">
        <f>IF($F829="","",$F829*$K829/100)</f>
        <v/>
      </c>
      <c r="M829" s="20">
        <f>IF($A829="","",ROUNDUP(MONTH($A829)/3,0))</f>
        <v/>
      </c>
    </row>
    <row r="830">
      <c r="A830" s="33" t="n"/>
      <c r="B830" s="16" t="n"/>
      <c r="C830" s="16" t="n"/>
      <c r="D830" s="16" t="n"/>
      <c r="E830" s="16" t="n"/>
      <c r="F830" s="34" t="n"/>
      <c r="G830" s="18" t="n"/>
      <c r="H830" s="35">
        <f>IF($F830="","",$F830*$G830/100)</f>
        <v/>
      </c>
      <c r="I830" s="18" t="n"/>
      <c r="J830" s="35">
        <f>IF($F830="","",$H830*$I830/100)</f>
        <v/>
      </c>
      <c r="K830" s="18" t="n"/>
      <c r="L830" s="35">
        <f>IF($F830="","",$F830*$K830/100)</f>
        <v/>
      </c>
      <c r="M830" s="20">
        <f>IF($A830="","",ROUNDUP(MONTH($A830)/3,0))</f>
        <v/>
      </c>
    </row>
    <row r="831">
      <c r="A831" s="33" t="n"/>
      <c r="B831" s="16" t="n"/>
      <c r="C831" s="16" t="n"/>
      <c r="D831" s="16" t="n"/>
      <c r="E831" s="16" t="n"/>
      <c r="F831" s="34" t="n"/>
      <c r="G831" s="18" t="n"/>
      <c r="H831" s="35">
        <f>IF($F831="","",$F831*$G831/100)</f>
        <v/>
      </c>
      <c r="I831" s="18" t="n"/>
      <c r="J831" s="35">
        <f>IF($F831="","",$H831*$I831/100)</f>
        <v/>
      </c>
      <c r="K831" s="18" t="n"/>
      <c r="L831" s="35">
        <f>IF($F831="","",$F831*$K831/100)</f>
        <v/>
      </c>
      <c r="M831" s="20">
        <f>IF($A831="","",ROUNDUP(MONTH($A831)/3,0))</f>
        <v/>
      </c>
    </row>
    <row r="832">
      <c r="A832" s="33" t="n"/>
      <c r="B832" s="16" t="n"/>
      <c r="C832" s="16" t="n"/>
      <c r="D832" s="16" t="n"/>
      <c r="E832" s="16" t="n"/>
      <c r="F832" s="34" t="n"/>
      <c r="G832" s="18" t="n"/>
      <c r="H832" s="35">
        <f>IF($F832="","",$F832*$G832/100)</f>
        <v/>
      </c>
      <c r="I832" s="18" t="n"/>
      <c r="J832" s="35">
        <f>IF($F832="","",$H832*$I832/100)</f>
        <v/>
      </c>
      <c r="K832" s="18" t="n"/>
      <c r="L832" s="35">
        <f>IF($F832="","",$F832*$K832/100)</f>
        <v/>
      </c>
      <c r="M832" s="20">
        <f>IF($A832="","",ROUNDUP(MONTH($A832)/3,0))</f>
        <v/>
      </c>
    </row>
    <row r="833">
      <c r="A833" s="33" t="n"/>
      <c r="B833" s="16" t="n"/>
      <c r="C833" s="16" t="n"/>
      <c r="D833" s="16" t="n"/>
      <c r="E833" s="16" t="n"/>
      <c r="F833" s="34" t="n"/>
      <c r="G833" s="18" t="n"/>
      <c r="H833" s="35">
        <f>IF($F833="","",$F833*$G833/100)</f>
        <v/>
      </c>
      <c r="I833" s="18" t="n"/>
      <c r="J833" s="35">
        <f>IF($F833="","",$H833*$I833/100)</f>
        <v/>
      </c>
      <c r="K833" s="18" t="n"/>
      <c r="L833" s="35">
        <f>IF($F833="","",$F833*$K833/100)</f>
        <v/>
      </c>
      <c r="M833" s="20">
        <f>IF($A833="","",ROUNDUP(MONTH($A833)/3,0))</f>
        <v/>
      </c>
    </row>
    <row r="834">
      <c r="A834" s="33" t="n"/>
      <c r="B834" s="16" t="n"/>
      <c r="C834" s="16" t="n"/>
      <c r="D834" s="16" t="n"/>
      <c r="E834" s="16" t="n"/>
      <c r="F834" s="34" t="n"/>
      <c r="G834" s="18" t="n"/>
      <c r="H834" s="35">
        <f>IF($F834="","",$F834*$G834/100)</f>
        <v/>
      </c>
      <c r="I834" s="18" t="n"/>
      <c r="J834" s="35">
        <f>IF($F834="","",$H834*$I834/100)</f>
        <v/>
      </c>
      <c r="K834" s="18" t="n"/>
      <c r="L834" s="35">
        <f>IF($F834="","",$F834*$K834/100)</f>
        <v/>
      </c>
      <c r="M834" s="20">
        <f>IF($A834="","",ROUNDUP(MONTH($A834)/3,0))</f>
        <v/>
      </c>
    </row>
    <row r="835">
      <c r="A835" s="33" t="n"/>
      <c r="B835" s="16" t="n"/>
      <c r="C835" s="16" t="n"/>
      <c r="D835" s="16" t="n"/>
      <c r="E835" s="16" t="n"/>
      <c r="F835" s="34" t="n"/>
      <c r="G835" s="18" t="n"/>
      <c r="H835" s="35">
        <f>IF($F835="","",$F835*$G835/100)</f>
        <v/>
      </c>
      <c r="I835" s="18" t="n"/>
      <c r="J835" s="35">
        <f>IF($F835="","",$H835*$I835/100)</f>
        <v/>
      </c>
      <c r="K835" s="18" t="n"/>
      <c r="L835" s="35">
        <f>IF($F835="","",$F835*$K835/100)</f>
        <v/>
      </c>
      <c r="M835" s="20">
        <f>IF($A835="","",ROUNDUP(MONTH($A835)/3,0))</f>
        <v/>
      </c>
    </row>
    <row r="836">
      <c r="A836" s="33" t="n"/>
      <c r="B836" s="16" t="n"/>
      <c r="C836" s="16" t="n"/>
      <c r="D836" s="16" t="n"/>
      <c r="E836" s="16" t="n"/>
      <c r="F836" s="34" t="n"/>
      <c r="G836" s="18" t="n"/>
      <c r="H836" s="35">
        <f>IF($F836="","",$F836*$G836/100)</f>
        <v/>
      </c>
      <c r="I836" s="18" t="n"/>
      <c r="J836" s="35">
        <f>IF($F836="","",$H836*$I836/100)</f>
        <v/>
      </c>
      <c r="K836" s="18" t="n"/>
      <c r="L836" s="35">
        <f>IF($F836="","",$F836*$K836/100)</f>
        <v/>
      </c>
      <c r="M836" s="20">
        <f>IF($A836="","",ROUNDUP(MONTH($A836)/3,0))</f>
        <v/>
      </c>
    </row>
    <row r="837">
      <c r="A837" s="33" t="n"/>
      <c r="B837" s="16" t="n"/>
      <c r="C837" s="16" t="n"/>
      <c r="D837" s="16" t="n"/>
      <c r="E837" s="16" t="n"/>
      <c r="F837" s="34" t="n"/>
      <c r="G837" s="18" t="n"/>
      <c r="H837" s="35">
        <f>IF($F837="","",$F837*$G837/100)</f>
        <v/>
      </c>
      <c r="I837" s="18" t="n"/>
      <c r="J837" s="35">
        <f>IF($F837="","",$H837*$I837/100)</f>
        <v/>
      </c>
      <c r="K837" s="18" t="n"/>
      <c r="L837" s="35">
        <f>IF($F837="","",$F837*$K837/100)</f>
        <v/>
      </c>
      <c r="M837" s="20">
        <f>IF($A837="","",ROUNDUP(MONTH($A837)/3,0))</f>
        <v/>
      </c>
    </row>
    <row r="838">
      <c r="A838" s="33" t="n"/>
      <c r="B838" s="16" t="n"/>
      <c r="C838" s="16" t="n"/>
      <c r="D838" s="16" t="n"/>
      <c r="E838" s="16" t="n"/>
      <c r="F838" s="34" t="n"/>
      <c r="G838" s="18" t="n"/>
      <c r="H838" s="35">
        <f>IF($F838="","",$F838*$G838/100)</f>
        <v/>
      </c>
      <c r="I838" s="18" t="n"/>
      <c r="J838" s="35">
        <f>IF($F838="","",$H838*$I838/100)</f>
        <v/>
      </c>
      <c r="K838" s="18" t="n"/>
      <c r="L838" s="35">
        <f>IF($F838="","",$F838*$K838/100)</f>
        <v/>
      </c>
      <c r="M838" s="20">
        <f>IF($A838="","",ROUNDUP(MONTH($A838)/3,0))</f>
        <v/>
      </c>
    </row>
    <row r="839">
      <c r="A839" s="33" t="n"/>
      <c r="B839" s="16" t="n"/>
      <c r="C839" s="16" t="n"/>
      <c r="D839" s="16" t="n"/>
      <c r="E839" s="16" t="n"/>
      <c r="F839" s="34" t="n"/>
      <c r="G839" s="18" t="n"/>
      <c r="H839" s="35">
        <f>IF($F839="","",$F839*$G839/100)</f>
        <v/>
      </c>
      <c r="I839" s="18" t="n"/>
      <c r="J839" s="35">
        <f>IF($F839="","",$H839*$I839/100)</f>
        <v/>
      </c>
      <c r="K839" s="18" t="n"/>
      <c r="L839" s="35">
        <f>IF($F839="","",$F839*$K839/100)</f>
        <v/>
      </c>
      <c r="M839" s="20">
        <f>IF($A839="","",ROUNDUP(MONTH($A839)/3,0))</f>
        <v/>
      </c>
    </row>
    <row r="840">
      <c r="A840" s="33" t="n"/>
      <c r="B840" s="16" t="n"/>
      <c r="C840" s="16" t="n"/>
      <c r="D840" s="16" t="n"/>
      <c r="E840" s="16" t="n"/>
      <c r="F840" s="34" t="n"/>
      <c r="G840" s="18" t="n"/>
      <c r="H840" s="35">
        <f>IF($F840="","",$F840*$G840/100)</f>
        <v/>
      </c>
      <c r="I840" s="18" t="n"/>
      <c r="J840" s="35">
        <f>IF($F840="","",$H840*$I840/100)</f>
        <v/>
      </c>
      <c r="K840" s="18" t="n"/>
      <c r="L840" s="35">
        <f>IF($F840="","",$F840*$K840/100)</f>
        <v/>
      </c>
      <c r="M840" s="20">
        <f>IF($A840="","",ROUNDUP(MONTH($A840)/3,0))</f>
        <v/>
      </c>
    </row>
    <row r="841">
      <c r="A841" s="33" t="n"/>
      <c r="B841" s="16" t="n"/>
      <c r="C841" s="16" t="n"/>
      <c r="D841" s="16" t="n"/>
      <c r="E841" s="16" t="n"/>
      <c r="F841" s="34" t="n"/>
      <c r="G841" s="18" t="n"/>
      <c r="H841" s="35">
        <f>IF($F841="","",$F841*$G841/100)</f>
        <v/>
      </c>
      <c r="I841" s="18" t="n"/>
      <c r="J841" s="35">
        <f>IF($F841="","",$H841*$I841/100)</f>
        <v/>
      </c>
      <c r="K841" s="18" t="n"/>
      <c r="L841" s="35">
        <f>IF($F841="","",$F841*$K841/100)</f>
        <v/>
      </c>
      <c r="M841" s="20">
        <f>IF($A841="","",ROUNDUP(MONTH($A841)/3,0))</f>
        <v/>
      </c>
    </row>
    <row r="842">
      <c r="A842" s="33" t="n"/>
      <c r="B842" s="16" t="n"/>
      <c r="C842" s="16" t="n"/>
      <c r="D842" s="16" t="n"/>
      <c r="E842" s="16" t="n"/>
      <c r="F842" s="34" t="n"/>
      <c r="G842" s="18" t="n"/>
      <c r="H842" s="35">
        <f>IF($F842="","",$F842*$G842/100)</f>
        <v/>
      </c>
      <c r="I842" s="18" t="n"/>
      <c r="J842" s="35">
        <f>IF($F842="","",$H842*$I842/100)</f>
        <v/>
      </c>
      <c r="K842" s="18" t="n"/>
      <c r="L842" s="35">
        <f>IF($F842="","",$F842*$K842/100)</f>
        <v/>
      </c>
      <c r="M842" s="20">
        <f>IF($A842="","",ROUNDUP(MONTH($A842)/3,0))</f>
        <v/>
      </c>
    </row>
    <row r="843">
      <c r="A843" s="33" t="n"/>
      <c r="B843" s="16" t="n"/>
      <c r="C843" s="16" t="n"/>
      <c r="D843" s="16" t="n"/>
      <c r="E843" s="16" t="n"/>
      <c r="F843" s="34" t="n"/>
      <c r="G843" s="18" t="n"/>
      <c r="H843" s="35">
        <f>IF($F843="","",$F843*$G843/100)</f>
        <v/>
      </c>
      <c r="I843" s="18" t="n"/>
      <c r="J843" s="35">
        <f>IF($F843="","",$H843*$I843/100)</f>
        <v/>
      </c>
      <c r="K843" s="18" t="n"/>
      <c r="L843" s="35">
        <f>IF($F843="","",$F843*$K843/100)</f>
        <v/>
      </c>
      <c r="M843" s="20">
        <f>IF($A843="","",ROUNDUP(MONTH($A843)/3,0))</f>
        <v/>
      </c>
    </row>
    <row r="844">
      <c r="A844" s="33" t="n"/>
      <c r="B844" s="16" t="n"/>
      <c r="C844" s="16" t="n"/>
      <c r="D844" s="16" t="n"/>
      <c r="E844" s="16" t="n"/>
      <c r="F844" s="34" t="n"/>
      <c r="G844" s="18" t="n"/>
      <c r="H844" s="35">
        <f>IF($F844="","",$F844*$G844/100)</f>
        <v/>
      </c>
      <c r="I844" s="18" t="n"/>
      <c r="J844" s="35">
        <f>IF($F844="","",$H844*$I844/100)</f>
        <v/>
      </c>
      <c r="K844" s="18" t="n"/>
      <c r="L844" s="35">
        <f>IF($F844="","",$F844*$K844/100)</f>
        <v/>
      </c>
      <c r="M844" s="20">
        <f>IF($A844="","",ROUNDUP(MONTH($A844)/3,0))</f>
        <v/>
      </c>
    </row>
    <row r="845">
      <c r="A845" s="33" t="n"/>
      <c r="B845" s="16" t="n"/>
      <c r="C845" s="16" t="n"/>
      <c r="D845" s="16" t="n"/>
      <c r="E845" s="16" t="n"/>
      <c r="F845" s="34" t="n"/>
      <c r="G845" s="18" t="n"/>
      <c r="H845" s="35">
        <f>IF($F845="","",$F845*$G845/100)</f>
        <v/>
      </c>
      <c r="I845" s="18" t="n"/>
      <c r="J845" s="35">
        <f>IF($F845="","",$H845*$I845/100)</f>
        <v/>
      </c>
      <c r="K845" s="18" t="n"/>
      <c r="L845" s="35">
        <f>IF($F845="","",$F845*$K845/100)</f>
        <v/>
      </c>
      <c r="M845" s="20">
        <f>IF($A845="","",ROUNDUP(MONTH($A845)/3,0))</f>
        <v/>
      </c>
    </row>
    <row r="846">
      <c r="A846" s="33" t="n"/>
      <c r="B846" s="16" t="n"/>
      <c r="C846" s="16" t="n"/>
      <c r="D846" s="16" t="n"/>
      <c r="E846" s="16" t="n"/>
      <c r="F846" s="34" t="n"/>
      <c r="G846" s="18" t="n"/>
      <c r="H846" s="35">
        <f>IF($F846="","",$F846*$G846/100)</f>
        <v/>
      </c>
      <c r="I846" s="18" t="n"/>
      <c r="J846" s="35">
        <f>IF($F846="","",$H846*$I846/100)</f>
        <v/>
      </c>
      <c r="K846" s="18" t="n"/>
      <c r="L846" s="35">
        <f>IF($F846="","",$F846*$K846/100)</f>
        <v/>
      </c>
      <c r="M846" s="20">
        <f>IF($A846="","",ROUNDUP(MONTH($A846)/3,0))</f>
        <v/>
      </c>
    </row>
    <row r="847">
      <c r="A847" s="33" t="n"/>
      <c r="B847" s="16" t="n"/>
      <c r="C847" s="16" t="n"/>
      <c r="D847" s="16" t="n"/>
      <c r="E847" s="16" t="n"/>
      <c r="F847" s="34" t="n"/>
      <c r="G847" s="18" t="n"/>
      <c r="H847" s="35">
        <f>IF($F847="","",$F847*$G847/100)</f>
        <v/>
      </c>
      <c r="I847" s="18" t="n"/>
      <c r="J847" s="35">
        <f>IF($F847="","",$H847*$I847/100)</f>
        <v/>
      </c>
      <c r="K847" s="18" t="n"/>
      <c r="L847" s="35">
        <f>IF($F847="","",$F847*$K847/100)</f>
        <v/>
      </c>
      <c r="M847" s="20">
        <f>IF($A847="","",ROUNDUP(MONTH($A847)/3,0))</f>
        <v/>
      </c>
    </row>
    <row r="848">
      <c r="A848" s="33" t="n"/>
      <c r="B848" s="16" t="n"/>
      <c r="C848" s="16" t="n"/>
      <c r="D848" s="16" t="n"/>
      <c r="E848" s="16" t="n"/>
      <c r="F848" s="34" t="n"/>
      <c r="G848" s="18" t="n"/>
      <c r="H848" s="35">
        <f>IF($F848="","",$F848*$G848/100)</f>
        <v/>
      </c>
      <c r="I848" s="18" t="n"/>
      <c r="J848" s="35">
        <f>IF($F848="","",$H848*$I848/100)</f>
        <v/>
      </c>
      <c r="K848" s="18" t="n"/>
      <c r="L848" s="35">
        <f>IF($F848="","",$F848*$K848/100)</f>
        <v/>
      </c>
      <c r="M848" s="20">
        <f>IF($A848="","",ROUNDUP(MONTH($A848)/3,0))</f>
        <v/>
      </c>
    </row>
    <row r="849">
      <c r="A849" s="33" t="n"/>
      <c r="B849" s="16" t="n"/>
      <c r="C849" s="16" t="n"/>
      <c r="D849" s="16" t="n"/>
      <c r="E849" s="16" t="n"/>
      <c r="F849" s="34" t="n"/>
      <c r="G849" s="18" t="n"/>
      <c r="H849" s="35">
        <f>IF($F849="","",$F849*$G849/100)</f>
        <v/>
      </c>
      <c r="I849" s="18" t="n"/>
      <c r="J849" s="35">
        <f>IF($F849="","",$H849*$I849/100)</f>
        <v/>
      </c>
      <c r="K849" s="18" t="n"/>
      <c r="L849" s="35">
        <f>IF($F849="","",$F849*$K849/100)</f>
        <v/>
      </c>
      <c r="M849" s="20">
        <f>IF($A849="","",ROUNDUP(MONTH($A849)/3,0))</f>
        <v/>
      </c>
    </row>
    <row r="850">
      <c r="A850" s="33" t="n"/>
      <c r="B850" s="16" t="n"/>
      <c r="C850" s="16" t="n"/>
      <c r="D850" s="16" t="n"/>
      <c r="E850" s="16" t="n"/>
      <c r="F850" s="34" t="n"/>
      <c r="G850" s="18" t="n"/>
      <c r="H850" s="35">
        <f>IF($F850="","",$F850*$G850/100)</f>
        <v/>
      </c>
      <c r="I850" s="18" t="n"/>
      <c r="J850" s="35">
        <f>IF($F850="","",$H850*$I850/100)</f>
        <v/>
      </c>
      <c r="K850" s="18" t="n"/>
      <c r="L850" s="35">
        <f>IF($F850="","",$F850*$K850/100)</f>
        <v/>
      </c>
      <c r="M850" s="20">
        <f>IF($A850="","",ROUNDUP(MONTH($A850)/3,0))</f>
        <v/>
      </c>
    </row>
    <row r="851">
      <c r="A851" s="33" t="n"/>
      <c r="B851" s="16" t="n"/>
      <c r="C851" s="16" t="n"/>
      <c r="D851" s="16" t="n"/>
      <c r="E851" s="16" t="n"/>
      <c r="F851" s="34" t="n"/>
      <c r="G851" s="18" t="n"/>
      <c r="H851" s="35">
        <f>IF($F851="","",$F851*$G851/100)</f>
        <v/>
      </c>
      <c r="I851" s="18" t="n"/>
      <c r="J851" s="35">
        <f>IF($F851="","",$H851*$I851/100)</f>
        <v/>
      </c>
      <c r="K851" s="18" t="n"/>
      <c r="L851" s="35">
        <f>IF($F851="","",$F851*$K851/100)</f>
        <v/>
      </c>
      <c r="M851" s="20">
        <f>IF($A851="","",ROUNDUP(MONTH($A851)/3,0))</f>
        <v/>
      </c>
    </row>
    <row r="852">
      <c r="A852" s="33" t="n"/>
      <c r="B852" s="16" t="n"/>
      <c r="C852" s="16" t="n"/>
      <c r="D852" s="16" t="n"/>
      <c r="E852" s="16" t="n"/>
      <c r="F852" s="34" t="n"/>
      <c r="G852" s="18" t="n"/>
      <c r="H852" s="35">
        <f>IF($F852="","",$F852*$G852/100)</f>
        <v/>
      </c>
      <c r="I852" s="18" t="n"/>
      <c r="J852" s="35">
        <f>IF($F852="","",$H852*$I852/100)</f>
        <v/>
      </c>
      <c r="K852" s="18" t="n"/>
      <c r="L852" s="35">
        <f>IF($F852="","",$F852*$K852/100)</f>
        <v/>
      </c>
      <c r="M852" s="20">
        <f>IF($A852="","",ROUNDUP(MONTH($A852)/3,0))</f>
        <v/>
      </c>
    </row>
    <row r="853">
      <c r="A853" s="33" t="n"/>
      <c r="B853" s="16" t="n"/>
      <c r="C853" s="16" t="n"/>
      <c r="D853" s="16" t="n"/>
      <c r="E853" s="16" t="n"/>
      <c r="F853" s="34" t="n"/>
      <c r="G853" s="18" t="n"/>
      <c r="H853" s="35">
        <f>IF($F853="","",$F853*$G853/100)</f>
        <v/>
      </c>
      <c r="I853" s="18" t="n"/>
      <c r="J853" s="35">
        <f>IF($F853="","",$H853*$I853/100)</f>
        <v/>
      </c>
      <c r="K853" s="18" t="n"/>
      <c r="L853" s="35">
        <f>IF($F853="","",$F853*$K853/100)</f>
        <v/>
      </c>
      <c r="M853" s="20">
        <f>IF($A853="","",ROUNDUP(MONTH($A853)/3,0))</f>
        <v/>
      </c>
    </row>
    <row r="854">
      <c r="A854" s="33" t="n"/>
      <c r="B854" s="16" t="n"/>
      <c r="C854" s="16" t="n"/>
      <c r="D854" s="16" t="n"/>
      <c r="E854" s="16" t="n"/>
      <c r="F854" s="34" t="n"/>
      <c r="G854" s="18" t="n"/>
      <c r="H854" s="35">
        <f>IF($F854="","",$F854*$G854/100)</f>
        <v/>
      </c>
      <c r="I854" s="18" t="n"/>
      <c r="J854" s="35">
        <f>IF($F854="","",$H854*$I854/100)</f>
        <v/>
      </c>
      <c r="K854" s="18" t="n"/>
      <c r="L854" s="35">
        <f>IF($F854="","",$F854*$K854/100)</f>
        <v/>
      </c>
      <c r="M854" s="20">
        <f>IF($A854="","",ROUNDUP(MONTH($A854)/3,0))</f>
        <v/>
      </c>
    </row>
    <row r="855">
      <c r="A855" s="33" t="n"/>
      <c r="B855" s="16" t="n"/>
      <c r="C855" s="16" t="n"/>
      <c r="D855" s="16" t="n"/>
      <c r="E855" s="16" t="n"/>
      <c r="F855" s="34" t="n"/>
      <c r="G855" s="18" t="n"/>
      <c r="H855" s="35">
        <f>IF($F855="","",$F855*$G855/100)</f>
        <v/>
      </c>
      <c r="I855" s="18" t="n"/>
      <c r="J855" s="35">
        <f>IF($F855="","",$H855*$I855/100)</f>
        <v/>
      </c>
      <c r="K855" s="18" t="n"/>
      <c r="L855" s="35">
        <f>IF($F855="","",$F855*$K855/100)</f>
        <v/>
      </c>
      <c r="M855" s="20">
        <f>IF($A855="","",ROUNDUP(MONTH($A855)/3,0))</f>
        <v/>
      </c>
    </row>
    <row r="856">
      <c r="A856" s="33" t="n"/>
      <c r="B856" s="16" t="n"/>
      <c r="C856" s="16" t="n"/>
      <c r="D856" s="16" t="n"/>
      <c r="E856" s="16" t="n"/>
      <c r="F856" s="34" t="n"/>
      <c r="G856" s="18" t="n"/>
      <c r="H856" s="35">
        <f>IF($F856="","",$F856*$G856/100)</f>
        <v/>
      </c>
      <c r="I856" s="18" t="n"/>
      <c r="J856" s="35">
        <f>IF($F856="","",$H856*$I856/100)</f>
        <v/>
      </c>
      <c r="K856" s="18" t="n"/>
      <c r="L856" s="35">
        <f>IF($F856="","",$F856*$K856/100)</f>
        <v/>
      </c>
      <c r="M856" s="20">
        <f>IF($A856="","",ROUNDUP(MONTH($A856)/3,0))</f>
        <v/>
      </c>
    </row>
    <row r="857">
      <c r="A857" s="33" t="n"/>
      <c r="B857" s="16" t="n"/>
      <c r="C857" s="16" t="n"/>
      <c r="D857" s="16" t="n"/>
      <c r="E857" s="16" t="n"/>
      <c r="F857" s="34" t="n"/>
      <c r="G857" s="18" t="n"/>
      <c r="H857" s="35">
        <f>IF($F857="","",$F857*$G857/100)</f>
        <v/>
      </c>
      <c r="I857" s="18" t="n"/>
      <c r="J857" s="35">
        <f>IF($F857="","",$H857*$I857/100)</f>
        <v/>
      </c>
      <c r="K857" s="18" t="n"/>
      <c r="L857" s="35">
        <f>IF($F857="","",$F857*$K857/100)</f>
        <v/>
      </c>
      <c r="M857" s="20">
        <f>IF($A857="","",ROUNDUP(MONTH($A857)/3,0))</f>
        <v/>
      </c>
    </row>
    <row r="858">
      <c r="A858" s="33" t="n"/>
      <c r="B858" s="16" t="n"/>
      <c r="C858" s="16" t="n"/>
      <c r="D858" s="16" t="n"/>
      <c r="E858" s="16" t="n"/>
      <c r="F858" s="34" t="n"/>
      <c r="G858" s="18" t="n"/>
      <c r="H858" s="35">
        <f>IF($F858="","",$F858*$G858/100)</f>
        <v/>
      </c>
      <c r="I858" s="18" t="n"/>
      <c r="J858" s="35">
        <f>IF($F858="","",$H858*$I858/100)</f>
        <v/>
      </c>
      <c r="K858" s="18" t="n"/>
      <c r="L858" s="35">
        <f>IF($F858="","",$F858*$K858/100)</f>
        <v/>
      </c>
      <c r="M858" s="20">
        <f>IF($A858="","",ROUNDUP(MONTH($A858)/3,0))</f>
        <v/>
      </c>
    </row>
    <row r="859">
      <c r="A859" s="33" t="n"/>
      <c r="B859" s="16" t="n"/>
      <c r="C859" s="16" t="n"/>
      <c r="D859" s="16" t="n"/>
      <c r="E859" s="16" t="n"/>
      <c r="F859" s="34" t="n"/>
      <c r="G859" s="18" t="n"/>
      <c r="H859" s="35">
        <f>IF($F859="","",$F859*$G859/100)</f>
        <v/>
      </c>
      <c r="I859" s="18" t="n"/>
      <c r="J859" s="35">
        <f>IF($F859="","",$H859*$I859/100)</f>
        <v/>
      </c>
      <c r="K859" s="18" t="n"/>
      <c r="L859" s="35">
        <f>IF($F859="","",$F859*$K859/100)</f>
        <v/>
      </c>
      <c r="M859" s="20">
        <f>IF($A859="","",ROUNDUP(MONTH($A859)/3,0))</f>
        <v/>
      </c>
    </row>
    <row r="860">
      <c r="A860" s="33" t="n"/>
      <c r="B860" s="16" t="n"/>
      <c r="C860" s="16" t="n"/>
      <c r="D860" s="16" t="n"/>
      <c r="E860" s="16" t="n"/>
      <c r="F860" s="34" t="n"/>
      <c r="G860" s="18" t="n"/>
      <c r="H860" s="35">
        <f>IF($F860="","",$F860*$G860/100)</f>
        <v/>
      </c>
      <c r="I860" s="18" t="n"/>
      <c r="J860" s="35">
        <f>IF($F860="","",$H860*$I860/100)</f>
        <v/>
      </c>
      <c r="K860" s="18" t="n"/>
      <c r="L860" s="35">
        <f>IF($F860="","",$F860*$K860/100)</f>
        <v/>
      </c>
      <c r="M860" s="20">
        <f>IF($A860="","",ROUNDUP(MONTH($A860)/3,0))</f>
        <v/>
      </c>
    </row>
    <row r="861">
      <c r="A861" s="33" t="n"/>
      <c r="B861" s="16" t="n"/>
      <c r="C861" s="16" t="n"/>
      <c r="D861" s="16" t="n"/>
      <c r="E861" s="16" t="n"/>
      <c r="F861" s="34" t="n"/>
      <c r="G861" s="18" t="n"/>
      <c r="H861" s="35">
        <f>IF($F861="","",$F861*$G861/100)</f>
        <v/>
      </c>
      <c r="I861" s="18" t="n"/>
      <c r="J861" s="35">
        <f>IF($F861="","",$H861*$I861/100)</f>
        <v/>
      </c>
      <c r="K861" s="18" t="n"/>
      <c r="L861" s="35">
        <f>IF($F861="","",$F861*$K861/100)</f>
        <v/>
      </c>
      <c r="M861" s="20">
        <f>IF($A861="","",ROUNDUP(MONTH($A861)/3,0))</f>
        <v/>
      </c>
    </row>
    <row r="862">
      <c r="A862" s="33" t="n"/>
      <c r="B862" s="16" t="n"/>
      <c r="C862" s="16" t="n"/>
      <c r="D862" s="16" t="n"/>
      <c r="E862" s="16" t="n"/>
      <c r="F862" s="34" t="n"/>
      <c r="G862" s="18" t="n"/>
      <c r="H862" s="35">
        <f>IF($F862="","",$F862*$G862/100)</f>
        <v/>
      </c>
      <c r="I862" s="18" t="n"/>
      <c r="J862" s="35">
        <f>IF($F862="","",$H862*$I862/100)</f>
        <v/>
      </c>
      <c r="K862" s="18" t="n"/>
      <c r="L862" s="35">
        <f>IF($F862="","",$F862*$K862/100)</f>
        <v/>
      </c>
      <c r="M862" s="20">
        <f>IF($A862="","",ROUNDUP(MONTH($A862)/3,0))</f>
        <v/>
      </c>
    </row>
    <row r="863">
      <c r="A863" s="33" t="n"/>
      <c r="B863" s="16" t="n"/>
      <c r="C863" s="16" t="n"/>
      <c r="D863" s="16" t="n"/>
      <c r="E863" s="16" t="n"/>
      <c r="F863" s="34" t="n"/>
      <c r="G863" s="18" t="n"/>
      <c r="H863" s="35">
        <f>IF($F863="","",$F863*$G863/100)</f>
        <v/>
      </c>
      <c r="I863" s="18" t="n"/>
      <c r="J863" s="35">
        <f>IF($F863="","",$H863*$I863/100)</f>
        <v/>
      </c>
      <c r="K863" s="18" t="n"/>
      <c r="L863" s="35">
        <f>IF($F863="","",$F863*$K863/100)</f>
        <v/>
      </c>
      <c r="M863" s="20">
        <f>IF($A863="","",ROUNDUP(MONTH($A863)/3,0))</f>
        <v/>
      </c>
    </row>
    <row r="864">
      <c r="A864" s="33" t="n"/>
      <c r="B864" s="16" t="n"/>
      <c r="C864" s="16" t="n"/>
      <c r="D864" s="16" t="n"/>
      <c r="E864" s="16" t="n"/>
      <c r="F864" s="34" t="n"/>
      <c r="G864" s="18" t="n"/>
      <c r="H864" s="35">
        <f>IF($F864="","",$F864*$G864/100)</f>
        <v/>
      </c>
      <c r="I864" s="18" t="n"/>
      <c r="J864" s="35">
        <f>IF($F864="","",$H864*$I864/100)</f>
        <v/>
      </c>
      <c r="K864" s="18" t="n"/>
      <c r="L864" s="35">
        <f>IF($F864="","",$F864*$K864/100)</f>
        <v/>
      </c>
      <c r="M864" s="20">
        <f>IF($A864="","",ROUNDUP(MONTH($A864)/3,0))</f>
        <v/>
      </c>
    </row>
    <row r="865">
      <c r="A865" s="33" t="n"/>
      <c r="B865" s="16" t="n"/>
      <c r="C865" s="16" t="n"/>
      <c r="D865" s="16" t="n"/>
      <c r="E865" s="16" t="n"/>
      <c r="F865" s="34" t="n"/>
      <c r="G865" s="18" t="n"/>
      <c r="H865" s="35">
        <f>IF($F865="","",$F865*$G865/100)</f>
        <v/>
      </c>
      <c r="I865" s="18" t="n"/>
      <c r="J865" s="35">
        <f>IF($F865="","",$H865*$I865/100)</f>
        <v/>
      </c>
      <c r="K865" s="18" t="n"/>
      <c r="L865" s="35">
        <f>IF($F865="","",$F865*$K865/100)</f>
        <v/>
      </c>
      <c r="M865" s="20">
        <f>IF($A865="","",ROUNDUP(MONTH($A865)/3,0))</f>
        <v/>
      </c>
    </row>
    <row r="866">
      <c r="A866" s="33" t="n"/>
      <c r="B866" s="16" t="n"/>
      <c r="C866" s="16" t="n"/>
      <c r="D866" s="16" t="n"/>
      <c r="E866" s="16" t="n"/>
      <c r="F866" s="34" t="n"/>
      <c r="G866" s="18" t="n"/>
      <c r="H866" s="35">
        <f>IF($F866="","",$F866*$G866/100)</f>
        <v/>
      </c>
      <c r="I866" s="18" t="n"/>
      <c r="J866" s="35">
        <f>IF($F866="","",$H866*$I866/100)</f>
        <v/>
      </c>
      <c r="K866" s="18" t="n"/>
      <c r="L866" s="35">
        <f>IF($F866="","",$F866*$K866/100)</f>
        <v/>
      </c>
      <c r="M866" s="20">
        <f>IF($A866="","",ROUNDUP(MONTH($A866)/3,0))</f>
        <v/>
      </c>
    </row>
    <row r="867">
      <c r="A867" s="33" t="n"/>
      <c r="B867" s="16" t="n"/>
      <c r="C867" s="16" t="n"/>
      <c r="D867" s="16" t="n"/>
      <c r="E867" s="16" t="n"/>
      <c r="F867" s="34" t="n"/>
      <c r="G867" s="18" t="n"/>
      <c r="H867" s="35">
        <f>IF($F867="","",$F867*$G867/100)</f>
        <v/>
      </c>
      <c r="I867" s="18" t="n"/>
      <c r="J867" s="35">
        <f>IF($F867="","",$H867*$I867/100)</f>
        <v/>
      </c>
      <c r="K867" s="18" t="n"/>
      <c r="L867" s="35">
        <f>IF($F867="","",$F867*$K867/100)</f>
        <v/>
      </c>
      <c r="M867" s="20">
        <f>IF($A867="","",ROUNDUP(MONTH($A867)/3,0))</f>
        <v/>
      </c>
    </row>
    <row r="868">
      <c r="A868" s="33" t="n"/>
      <c r="B868" s="16" t="n"/>
      <c r="C868" s="16" t="n"/>
      <c r="D868" s="16" t="n"/>
      <c r="E868" s="16" t="n"/>
      <c r="F868" s="34" t="n"/>
      <c r="G868" s="18" t="n"/>
      <c r="H868" s="35">
        <f>IF($F868="","",$F868*$G868/100)</f>
        <v/>
      </c>
      <c r="I868" s="18" t="n"/>
      <c r="J868" s="35">
        <f>IF($F868="","",$H868*$I868/100)</f>
        <v/>
      </c>
      <c r="K868" s="18" t="n"/>
      <c r="L868" s="35">
        <f>IF($F868="","",$F868*$K868/100)</f>
        <v/>
      </c>
      <c r="M868" s="20">
        <f>IF($A868="","",ROUNDUP(MONTH($A868)/3,0))</f>
        <v/>
      </c>
    </row>
    <row r="869">
      <c r="A869" s="33" t="n"/>
      <c r="B869" s="16" t="n"/>
      <c r="C869" s="16" t="n"/>
      <c r="D869" s="16" t="n"/>
      <c r="E869" s="16" t="n"/>
      <c r="F869" s="34" t="n"/>
      <c r="G869" s="18" t="n"/>
      <c r="H869" s="35">
        <f>IF($F869="","",$F869*$G869/100)</f>
        <v/>
      </c>
      <c r="I869" s="18" t="n"/>
      <c r="J869" s="35">
        <f>IF($F869="","",$H869*$I869/100)</f>
        <v/>
      </c>
      <c r="K869" s="18" t="n"/>
      <c r="L869" s="35">
        <f>IF($F869="","",$F869*$K869/100)</f>
        <v/>
      </c>
      <c r="M869" s="20">
        <f>IF($A869="","",ROUNDUP(MONTH($A869)/3,0))</f>
        <v/>
      </c>
    </row>
    <row r="870">
      <c r="A870" s="33" t="n"/>
      <c r="B870" s="16" t="n"/>
      <c r="C870" s="16" t="n"/>
      <c r="D870" s="16" t="n"/>
      <c r="E870" s="16" t="n"/>
      <c r="F870" s="34" t="n"/>
      <c r="G870" s="18" t="n"/>
      <c r="H870" s="35">
        <f>IF($F870="","",$F870*$G870/100)</f>
        <v/>
      </c>
      <c r="I870" s="18" t="n"/>
      <c r="J870" s="35">
        <f>IF($F870="","",$H870*$I870/100)</f>
        <v/>
      </c>
      <c r="K870" s="18" t="n"/>
      <c r="L870" s="35">
        <f>IF($F870="","",$F870*$K870/100)</f>
        <v/>
      </c>
      <c r="M870" s="20">
        <f>IF($A870="","",ROUNDUP(MONTH($A870)/3,0))</f>
        <v/>
      </c>
    </row>
    <row r="871">
      <c r="A871" s="33" t="n"/>
      <c r="B871" s="16" t="n"/>
      <c r="C871" s="16" t="n"/>
      <c r="D871" s="16" t="n"/>
      <c r="E871" s="16" t="n"/>
      <c r="F871" s="34" t="n"/>
      <c r="G871" s="18" t="n"/>
      <c r="H871" s="35">
        <f>IF($F871="","",$F871*$G871/100)</f>
        <v/>
      </c>
      <c r="I871" s="18" t="n"/>
      <c r="J871" s="35">
        <f>IF($F871="","",$H871*$I871/100)</f>
        <v/>
      </c>
      <c r="K871" s="18" t="n"/>
      <c r="L871" s="35">
        <f>IF($F871="","",$F871*$K871/100)</f>
        <v/>
      </c>
      <c r="M871" s="20">
        <f>IF($A871="","",ROUNDUP(MONTH($A871)/3,0))</f>
        <v/>
      </c>
    </row>
    <row r="872">
      <c r="A872" s="33" t="n"/>
      <c r="B872" s="16" t="n"/>
      <c r="C872" s="16" t="n"/>
      <c r="D872" s="16" t="n"/>
      <c r="E872" s="16" t="n"/>
      <c r="F872" s="34" t="n"/>
      <c r="G872" s="18" t="n"/>
      <c r="H872" s="35">
        <f>IF($F872="","",$F872*$G872/100)</f>
        <v/>
      </c>
      <c r="I872" s="18" t="n"/>
      <c r="J872" s="35">
        <f>IF($F872="","",$H872*$I872/100)</f>
        <v/>
      </c>
      <c r="K872" s="18" t="n"/>
      <c r="L872" s="35">
        <f>IF($F872="","",$F872*$K872/100)</f>
        <v/>
      </c>
      <c r="M872" s="20">
        <f>IF($A872="","",ROUNDUP(MONTH($A872)/3,0))</f>
        <v/>
      </c>
    </row>
    <row r="873">
      <c r="A873" s="33" t="n"/>
      <c r="B873" s="16" t="n"/>
      <c r="C873" s="16" t="n"/>
      <c r="D873" s="16" t="n"/>
      <c r="E873" s="16" t="n"/>
      <c r="F873" s="34" t="n"/>
      <c r="G873" s="18" t="n"/>
      <c r="H873" s="35">
        <f>IF($F873="","",$F873*$G873/100)</f>
        <v/>
      </c>
      <c r="I873" s="18" t="n"/>
      <c r="J873" s="35">
        <f>IF($F873="","",$H873*$I873/100)</f>
        <v/>
      </c>
      <c r="K873" s="18" t="n"/>
      <c r="L873" s="35">
        <f>IF($F873="","",$F873*$K873/100)</f>
        <v/>
      </c>
      <c r="M873" s="20">
        <f>IF($A873="","",ROUNDUP(MONTH($A873)/3,0))</f>
        <v/>
      </c>
    </row>
    <row r="874">
      <c r="A874" s="33" t="n"/>
      <c r="B874" s="16" t="n"/>
      <c r="C874" s="16" t="n"/>
      <c r="D874" s="16" t="n"/>
      <c r="E874" s="16" t="n"/>
      <c r="F874" s="34" t="n"/>
      <c r="G874" s="18" t="n"/>
      <c r="H874" s="35">
        <f>IF($F874="","",$F874*$G874/100)</f>
        <v/>
      </c>
      <c r="I874" s="18" t="n"/>
      <c r="J874" s="35">
        <f>IF($F874="","",$H874*$I874/100)</f>
        <v/>
      </c>
      <c r="K874" s="18" t="n"/>
      <c r="L874" s="35">
        <f>IF($F874="","",$F874*$K874/100)</f>
        <v/>
      </c>
      <c r="M874" s="20">
        <f>IF($A874="","",ROUNDUP(MONTH($A874)/3,0))</f>
        <v/>
      </c>
    </row>
    <row r="875">
      <c r="A875" s="33" t="n"/>
      <c r="B875" s="16" t="n"/>
      <c r="C875" s="16" t="n"/>
      <c r="D875" s="16" t="n"/>
      <c r="E875" s="16" t="n"/>
      <c r="F875" s="34" t="n"/>
      <c r="G875" s="18" t="n"/>
      <c r="H875" s="35">
        <f>IF($F875="","",$F875*$G875/100)</f>
        <v/>
      </c>
      <c r="I875" s="18" t="n"/>
      <c r="J875" s="35">
        <f>IF($F875="","",$H875*$I875/100)</f>
        <v/>
      </c>
      <c r="K875" s="18" t="n"/>
      <c r="L875" s="35">
        <f>IF($F875="","",$F875*$K875/100)</f>
        <v/>
      </c>
      <c r="M875" s="20">
        <f>IF($A875="","",ROUNDUP(MONTH($A875)/3,0))</f>
        <v/>
      </c>
    </row>
    <row r="876">
      <c r="A876" s="33" t="n"/>
      <c r="B876" s="16" t="n"/>
      <c r="C876" s="16" t="n"/>
      <c r="D876" s="16" t="n"/>
      <c r="E876" s="16" t="n"/>
      <c r="F876" s="34" t="n"/>
      <c r="G876" s="18" t="n"/>
      <c r="H876" s="35">
        <f>IF($F876="","",$F876*$G876/100)</f>
        <v/>
      </c>
      <c r="I876" s="18" t="n"/>
      <c r="J876" s="35">
        <f>IF($F876="","",$H876*$I876/100)</f>
        <v/>
      </c>
      <c r="K876" s="18" t="n"/>
      <c r="L876" s="35">
        <f>IF($F876="","",$F876*$K876/100)</f>
        <v/>
      </c>
      <c r="M876" s="20">
        <f>IF($A876="","",ROUNDUP(MONTH($A876)/3,0))</f>
        <v/>
      </c>
    </row>
    <row r="877">
      <c r="A877" s="33" t="n"/>
      <c r="B877" s="16" t="n"/>
      <c r="C877" s="16" t="n"/>
      <c r="D877" s="16" t="n"/>
      <c r="E877" s="16" t="n"/>
      <c r="F877" s="34" t="n"/>
      <c r="G877" s="18" t="n"/>
      <c r="H877" s="35">
        <f>IF($F877="","",$F877*$G877/100)</f>
        <v/>
      </c>
      <c r="I877" s="18" t="n"/>
      <c r="J877" s="35">
        <f>IF($F877="","",$H877*$I877/100)</f>
        <v/>
      </c>
      <c r="K877" s="18" t="n"/>
      <c r="L877" s="35">
        <f>IF($F877="","",$F877*$K877/100)</f>
        <v/>
      </c>
      <c r="M877" s="20">
        <f>IF($A877="","",ROUNDUP(MONTH($A877)/3,0))</f>
        <v/>
      </c>
    </row>
    <row r="878">
      <c r="A878" s="33" t="n"/>
      <c r="B878" s="16" t="n"/>
      <c r="C878" s="16" t="n"/>
      <c r="D878" s="16" t="n"/>
      <c r="E878" s="16" t="n"/>
      <c r="F878" s="34" t="n"/>
      <c r="G878" s="18" t="n"/>
      <c r="H878" s="35">
        <f>IF($F878="","",$F878*$G878/100)</f>
        <v/>
      </c>
      <c r="I878" s="18" t="n"/>
      <c r="J878" s="35">
        <f>IF($F878="","",$H878*$I878/100)</f>
        <v/>
      </c>
      <c r="K878" s="18" t="n"/>
      <c r="L878" s="35">
        <f>IF($F878="","",$F878*$K878/100)</f>
        <v/>
      </c>
      <c r="M878" s="20">
        <f>IF($A878="","",ROUNDUP(MONTH($A878)/3,0))</f>
        <v/>
      </c>
    </row>
    <row r="879">
      <c r="A879" s="33" t="n"/>
      <c r="B879" s="16" t="n"/>
      <c r="C879" s="16" t="n"/>
      <c r="D879" s="16" t="n"/>
      <c r="E879" s="16" t="n"/>
      <c r="F879" s="34" t="n"/>
      <c r="G879" s="18" t="n"/>
      <c r="H879" s="35">
        <f>IF($F879="","",$F879*$G879/100)</f>
        <v/>
      </c>
      <c r="I879" s="18" t="n"/>
      <c r="J879" s="35">
        <f>IF($F879="","",$H879*$I879/100)</f>
        <v/>
      </c>
      <c r="K879" s="18" t="n"/>
      <c r="L879" s="35">
        <f>IF($F879="","",$F879*$K879/100)</f>
        <v/>
      </c>
      <c r="M879" s="20">
        <f>IF($A879="","",ROUNDUP(MONTH($A879)/3,0))</f>
        <v/>
      </c>
    </row>
    <row r="880">
      <c r="A880" s="33" t="n"/>
      <c r="B880" s="16" t="n"/>
      <c r="C880" s="16" t="n"/>
      <c r="D880" s="16" t="n"/>
      <c r="E880" s="16" t="n"/>
      <c r="F880" s="34" t="n"/>
      <c r="G880" s="18" t="n"/>
      <c r="H880" s="35">
        <f>IF($F880="","",$F880*$G880/100)</f>
        <v/>
      </c>
      <c r="I880" s="18" t="n"/>
      <c r="J880" s="35">
        <f>IF($F880="","",$H880*$I880/100)</f>
        <v/>
      </c>
      <c r="K880" s="18" t="n"/>
      <c r="L880" s="35">
        <f>IF($F880="","",$F880*$K880/100)</f>
        <v/>
      </c>
      <c r="M880" s="20">
        <f>IF($A880="","",ROUNDUP(MONTH($A880)/3,0))</f>
        <v/>
      </c>
    </row>
    <row r="881">
      <c r="A881" s="33" t="n"/>
      <c r="B881" s="16" t="n"/>
      <c r="C881" s="16" t="n"/>
      <c r="D881" s="16" t="n"/>
      <c r="E881" s="16" t="n"/>
      <c r="F881" s="34" t="n"/>
      <c r="G881" s="18" t="n"/>
      <c r="H881" s="35">
        <f>IF($F881="","",$F881*$G881/100)</f>
        <v/>
      </c>
      <c r="I881" s="18" t="n"/>
      <c r="J881" s="35">
        <f>IF($F881="","",$H881*$I881/100)</f>
        <v/>
      </c>
      <c r="K881" s="18" t="n"/>
      <c r="L881" s="35">
        <f>IF($F881="","",$F881*$K881/100)</f>
        <v/>
      </c>
      <c r="M881" s="20">
        <f>IF($A881="","",ROUNDUP(MONTH($A881)/3,0))</f>
        <v/>
      </c>
    </row>
    <row r="882">
      <c r="A882" s="33" t="n"/>
      <c r="B882" s="16" t="n"/>
      <c r="C882" s="16" t="n"/>
      <c r="D882" s="16" t="n"/>
      <c r="E882" s="16" t="n"/>
      <c r="F882" s="34" t="n"/>
      <c r="G882" s="18" t="n"/>
      <c r="H882" s="35">
        <f>IF($F882="","",$F882*$G882/100)</f>
        <v/>
      </c>
      <c r="I882" s="18" t="n"/>
      <c r="J882" s="35">
        <f>IF($F882="","",$H882*$I882/100)</f>
        <v/>
      </c>
      <c r="K882" s="18" t="n"/>
      <c r="L882" s="35">
        <f>IF($F882="","",$F882*$K882/100)</f>
        <v/>
      </c>
      <c r="M882" s="20">
        <f>IF($A882="","",ROUNDUP(MONTH($A882)/3,0))</f>
        <v/>
      </c>
    </row>
    <row r="883">
      <c r="A883" s="33" t="n"/>
      <c r="B883" s="16" t="n"/>
      <c r="C883" s="16" t="n"/>
      <c r="D883" s="16" t="n"/>
      <c r="E883" s="16" t="n"/>
      <c r="F883" s="34" t="n"/>
      <c r="G883" s="18" t="n"/>
      <c r="H883" s="35">
        <f>IF($F883="","",$F883*$G883/100)</f>
        <v/>
      </c>
      <c r="I883" s="18" t="n"/>
      <c r="J883" s="35">
        <f>IF($F883="","",$H883*$I883/100)</f>
        <v/>
      </c>
      <c r="K883" s="18" t="n"/>
      <c r="L883" s="35">
        <f>IF($F883="","",$F883*$K883/100)</f>
        <v/>
      </c>
      <c r="M883" s="20">
        <f>IF($A883="","",ROUNDUP(MONTH($A883)/3,0))</f>
        <v/>
      </c>
    </row>
    <row r="884">
      <c r="A884" s="33" t="n"/>
      <c r="B884" s="16" t="n"/>
      <c r="C884" s="16" t="n"/>
      <c r="D884" s="16" t="n"/>
      <c r="E884" s="16" t="n"/>
      <c r="F884" s="34" t="n"/>
      <c r="G884" s="18" t="n"/>
      <c r="H884" s="35">
        <f>IF($F884="","",$F884*$G884/100)</f>
        <v/>
      </c>
      <c r="I884" s="18" t="n"/>
      <c r="J884" s="35">
        <f>IF($F884="","",$H884*$I884/100)</f>
        <v/>
      </c>
      <c r="K884" s="18" t="n"/>
      <c r="L884" s="35">
        <f>IF($F884="","",$F884*$K884/100)</f>
        <v/>
      </c>
      <c r="M884" s="20">
        <f>IF($A884="","",ROUNDUP(MONTH($A884)/3,0))</f>
        <v/>
      </c>
    </row>
    <row r="885">
      <c r="A885" s="33" t="n"/>
      <c r="B885" s="16" t="n"/>
      <c r="C885" s="16" t="n"/>
      <c r="D885" s="16" t="n"/>
      <c r="E885" s="16" t="n"/>
      <c r="F885" s="34" t="n"/>
      <c r="G885" s="18" t="n"/>
      <c r="H885" s="35">
        <f>IF($F885="","",$F885*$G885/100)</f>
        <v/>
      </c>
      <c r="I885" s="18" t="n"/>
      <c r="J885" s="35">
        <f>IF($F885="","",$H885*$I885/100)</f>
        <v/>
      </c>
      <c r="K885" s="18" t="n"/>
      <c r="L885" s="35">
        <f>IF($F885="","",$F885*$K885/100)</f>
        <v/>
      </c>
      <c r="M885" s="20">
        <f>IF($A885="","",ROUNDUP(MONTH($A885)/3,0))</f>
        <v/>
      </c>
    </row>
    <row r="886">
      <c r="A886" s="33" t="n"/>
      <c r="B886" s="16" t="n"/>
      <c r="C886" s="16" t="n"/>
      <c r="D886" s="16" t="n"/>
      <c r="E886" s="16" t="n"/>
      <c r="F886" s="34" t="n"/>
      <c r="G886" s="18" t="n"/>
      <c r="H886" s="35">
        <f>IF($F886="","",$F886*$G886/100)</f>
        <v/>
      </c>
      <c r="I886" s="18" t="n"/>
      <c r="J886" s="35">
        <f>IF($F886="","",$H886*$I886/100)</f>
        <v/>
      </c>
      <c r="K886" s="18" t="n"/>
      <c r="L886" s="35">
        <f>IF($F886="","",$F886*$K886/100)</f>
        <v/>
      </c>
      <c r="M886" s="20">
        <f>IF($A886="","",ROUNDUP(MONTH($A886)/3,0))</f>
        <v/>
      </c>
    </row>
    <row r="887">
      <c r="A887" s="33" t="n"/>
      <c r="B887" s="16" t="n"/>
      <c r="C887" s="16" t="n"/>
      <c r="D887" s="16" t="n"/>
      <c r="E887" s="16" t="n"/>
      <c r="F887" s="34" t="n"/>
      <c r="G887" s="18" t="n"/>
      <c r="H887" s="35">
        <f>IF($F887="","",$F887*$G887/100)</f>
        <v/>
      </c>
      <c r="I887" s="18" t="n"/>
      <c r="J887" s="35">
        <f>IF($F887="","",$H887*$I887/100)</f>
        <v/>
      </c>
      <c r="K887" s="18" t="n"/>
      <c r="L887" s="35">
        <f>IF($F887="","",$F887*$K887/100)</f>
        <v/>
      </c>
      <c r="M887" s="20">
        <f>IF($A887="","",ROUNDUP(MONTH($A887)/3,0))</f>
        <v/>
      </c>
    </row>
    <row r="888">
      <c r="A888" s="33" t="n"/>
      <c r="B888" s="16" t="n"/>
      <c r="C888" s="16" t="n"/>
      <c r="D888" s="16" t="n"/>
      <c r="E888" s="16" t="n"/>
      <c r="F888" s="34" t="n"/>
      <c r="G888" s="18" t="n"/>
      <c r="H888" s="35">
        <f>IF($F888="","",$F888*$G888/100)</f>
        <v/>
      </c>
      <c r="I888" s="18" t="n"/>
      <c r="J888" s="35">
        <f>IF($F888="","",$H888*$I888/100)</f>
        <v/>
      </c>
      <c r="K888" s="18" t="n"/>
      <c r="L888" s="35">
        <f>IF($F888="","",$F888*$K888/100)</f>
        <v/>
      </c>
      <c r="M888" s="20">
        <f>IF($A888="","",ROUNDUP(MONTH($A888)/3,0))</f>
        <v/>
      </c>
    </row>
    <row r="889">
      <c r="A889" s="33" t="n"/>
      <c r="B889" s="16" t="n"/>
      <c r="C889" s="16" t="n"/>
      <c r="D889" s="16" t="n"/>
      <c r="E889" s="16" t="n"/>
      <c r="F889" s="34" t="n"/>
      <c r="G889" s="18" t="n"/>
      <c r="H889" s="35">
        <f>IF($F889="","",$F889*$G889/100)</f>
        <v/>
      </c>
      <c r="I889" s="18" t="n"/>
      <c r="J889" s="35">
        <f>IF($F889="","",$H889*$I889/100)</f>
        <v/>
      </c>
      <c r="K889" s="18" t="n"/>
      <c r="L889" s="35">
        <f>IF($F889="","",$F889*$K889/100)</f>
        <v/>
      </c>
      <c r="M889" s="20">
        <f>IF($A889="","",ROUNDUP(MONTH($A889)/3,0))</f>
        <v/>
      </c>
    </row>
    <row r="890">
      <c r="A890" s="33" t="n"/>
      <c r="B890" s="16" t="n"/>
      <c r="C890" s="16" t="n"/>
      <c r="D890" s="16" t="n"/>
      <c r="E890" s="16" t="n"/>
      <c r="F890" s="34" t="n"/>
      <c r="G890" s="18" t="n"/>
      <c r="H890" s="35">
        <f>IF($F890="","",$F890*$G890/100)</f>
        <v/>
      </c>
      <c r="I890" s="18" t="n"/>
      <c r="J890" s="35">
        <f>IF($F890="","",$H890*$I890/100)</f>
        <v/>
      </c>
      <c r="K890" s="18" t="n"/>
      <c r="L890" s="35">
        <f>IF($F890="","",$F890*$K890/100)</f>
        <v/>
      </c>
      <c r="M890" s="20">
        <f>IF($A890="","",ROUNDUP(MONTH($A890)/3,0))</f>
        <v/>
      </c>
    </row>
    <row r="891">
      <c r="A891" s="33" t="n"/>
      <c r="B891" s="16" t="n"/>
      <c r="C891" s="16" t="n"/>
      <c r="D891" s="16" t="n"/>
      <c r="E891" s="16" t="n"/>
      <c r="F891" s="34" t="n"/>
      <c r="G891" s="18" t="n"/>
      <c r="H891" s="35">
        <f>IF($F891="","",$F891*$G891/100)</f>
        <v/>
      </c>
      <c r="I891" s="18" t="n"/>
      <c r="J891" s="35">
        <f>IF($F891="","",$H891*$I891/100)</f>
        <v/>
      </c>
      <c r="K891" s="18" t="n"/>
      <c r="L891" s="35">
        <f>IF($F891="","",$F891*$K891/100)</f>
        <v/>
      </c>
      <c r="M891" s="20">
        <f>IF($A891="","",ROUNDUP(MONTH($A891)/3,0))</f>
        <v/>
      </c>
    </row>
    <row r="892">
      <c r="A892" s="33" t="n"/>
      <c r="B892" s="16" t="n"/>
      <c r="C892" s="16" t="n"/>
      <c r="D892" s="16" t="n"/>
      <c r="E892" s="16" t="n"/>
      <c r="F892" s="34" t="n"/>
      <c r="G892" s="18" t="n"/>
      <c r="H892" s="35">
        <f>IF($F892="","",$F892*$G892/100)</f>
        <v/>
      </c>
      <c r="I892" s="18" t="n"/>
      <c r="J892" s="35">
        <f>IF($F892="","",$H892*$I892/100)</f>
        <v/>
      </c>
      <c r="K892" s="18" t="n"/>
      <c r="L892" s="35">
        <f>IF($F892="","",$F892*$K892/100)</f>
        <v/>
      </c>
      <c r="M892" s="20">
        <f>IF($A892="","",ROUNDUP(MONTH($A892)/3,0))</f>
        <v/>
      </c>
    </row>
    <row r="893">
      <c r="A893" s="33" t="n"/>
      <c r="B893" s="16" t="n"/>
      <c r="C893" s="16" t="n"/>
      <c r="D893" s="16" t="n"/>
      <c r="E893" s="16" t="n"/>
      <c r="F893" s="34" t="n"/>
      <c r="G893" s="18" t="n"/>
      <c r="H893" s="35">
        <f>IF($F893="","",$F893*$G893/100)</f>
        <v/>
      </c>
      <c r="I893" s="18" t="n"/>
      <c r="J893" s="35">
        <f>IF($F893="","",$H893*$I893/100)</f>
        <v/>
      </c>
      <c r="K893" s="18" t="n"/>
      <c r="L893" s="35">
        <f>IF($F893="","",$F893*$K893/100)</f>
        <v/>
      </c>
      <c r="M893" s="20">
        <f>IF($A893="","",ROUNDUP(MONTH($A893)/3,0))</f>
        <v/>
      </c>
    </row>
    <row r="894">
      <c r="A894" s="33" t="n"/>
      <c r="B894" s="16" t="n"/>
      <c r="C894" s="16" t="n"/>
      <c r="D894" s="16" t="n"/>
      <c r="E894" s="16" t="n"/>
      <c r="F894" s="34" t="n"/>
      <c r="G894" s="18" t="n"/>
      <c r="H894" s="35">
        <f>IF($F894="","",$F894*$G894/100)</f>
        <v/>
      </c>
      <c r="I894" s="18" t="n"/>
      <c r="J894" s="35">
        <f>IF($F894="","",$H894*$I894/100)</f>
        <v/>
      </c>
      <c r="K894" s="18" t="n"/>
      <c r="L894" s="35">
        <f>IF($F894="","",$F894*$K894/100)</f>
        <v/>
      </c>
      <c r="M894" s="20">
        <f>IF($A894="","",ROUNDUP(MONTH($A894)/3,0))</f>
        <v/>
      </c>
    </row>
    <row r="895">
      <c r="A895" s="33" t="n"/>
      <c r="B895" s="16" t="n"/>
      <c r="C895" s="16" t="n"/>
      <c r="D895" s="16" t="n"/>
      <c r="E895" s="16" t="n"/>
      <c r="F895" s="34" t="n"/>
      <c r="G895" s="18" t="n"/>
      <c r="H895" s="35">
        <f>IF($F895="","",$F895*$G895/100)</f>
        <v/>
      </c>
      <c r="I895" s="18" t="n"/>
      <c r="J895" s="35">
        <f>IF($F895="","",$H895*$I895/100)</f>
        <v/>
      </c>
      <c r="K895" s="18" t="n"/>
      <c r="L895" s="35">
        <f>IF($F895="","",$F895*$K895/100)</f>
        <v/>
      </c>
      <c r="M895" s="20">
        <f>IF($A895="","",ROUNDUP(MONTH($A895)/3,0))</f>
        <v/>
      </c>
    </row>
    <row r="896">
      <c r="A896" s="33" t="n"/>
      <c r="B896" s="16" t="n"/>
      <c r="C896" s="16" t="n"/>
      <c r="D896" s="16" t="n"/>
      <c r="E896" s="16" t="n"/>
      <c r="F896" s="34" t="n"/>
      <c r="G896" s="18" t="n"/>
      <c r="H896" s="35">
        <f>IF($F896="","",$F896*$G896/100)</f>
        <v/>
      </c>
      <c r="I896" s="18" t="n"/>
      <c r="J896" s="35">
        <f>IF($F896="","",$H896*$I896/100)</f>
        <v/>
      </c>
      <c r="K896" s="18" t="n"/>
      <c r="L896" s="35">
        <f>IF($F896="","",$F896*$K896/100)</f>
        <v/>
      </c>
      <c r="M896" s="20">
        <f>IF($A896="","",ROUNDUP(MONTH($A896)/3,0))</f>
        <v/>
      </c>
    </row>
    <row r="897">
      <c r="A897" s="33" t="n"/>
      <c r="B897" s="16" t="n"/>
      <c r="C897" s="16" t="n"/>
      <c r="D897" s="16" t="n"/>
      <c r="E897" s="16" t="n"/>
      <c r="F897" s="34" t="n"/>
      <c r="G897" s="18" t="n"/>
      <c r="H897" s="35">
        <f>IF($F897="","",$F897*$G897/100)</f>
        <v/>
      </c>
      <c r="I897" s="18" t="n"/>
      <c r="J897" s="35">
        <f>IF($F897="","",$H897*$I897/100)</f>
        <v/>
      </c>
      <c r="K897" s="18" t="n"/>
      <c r="L897" s="35">
        <f>IF($F897="","",$F897*$K897/100)</f>
        <v/>
      </c>
      <c r="M897" s="20">
        <f>IF($A897="","",ROUNDUP(MONTH($A897)/3,0))</f>
        <v/>
      </c>
    </row>
    <row r="898">
      <c r="A898" s="33" t="n"/>
      <c r="B898" s="16" t="n"/>
      <c r="C898" s="16" t="n"/>
      <c r="D898" s="16" t="n"/>
      <c r="E898" s="16" t="n"/>
      <c r="F898" s="34" t="n"/>
      <c r="G898" s="18" t="n"/>
      <c r="H898" s="35">
        <f>IF($F898="","",$F898*$G898/100)</f>
        <v/>
      </c>
      <c r="I898" s="18" t="n"/>
      <c r="J898" s="35">
        <f>IF($F898="","",$H898*$I898/100)</f>
        <v/>
      </c>
      <c r="K898" s="18" t="n"/>
      <c r="L898" s="35">
        <f>IF($F898="","",$F898*$K898/100)</f>
        <v/>
      </c>
      <c r="M898" s="20">
        <f>IF($A898="","",ROUNDUP(MONTH($A898)/3,0))</f>
        <v/>
      </c>
    </row>
    <row r="899">
      <c r="A899" s="33" t="n"/>
      <c r="B899" s="16" t="n"/>
      <c r="C899" s="16" t="n"/>
      <c r="D899" s="16" t="n"/>
      <c r="E899" s="16" t="n"/>
      <c r="F899" s="34" t="n"/>
      <c r="G899" s="18" t="n"/>
      <c r="H899" s="35">
        <f>IF($F899="","",$F899*$G899/100)</f>
        <v/>
      </c>
      <c r="I899" s="18" t="n"/>
      <c r="J899" s="35">
        <f>IF($F899="","",$H899*$I899/100)</f>
        <v/>
      </c>
      <c r="K899" s="18" t="n"/>
      <c r="L899" s="35">
        <f>IF($F899="","",$F899*$K899/100)</f>
        <v/>
      </c>
      <c r="M899" s="20">
        <f>IF($A899="","",ROUNDUP(MONTH($A899)/3,0))</f>
        <v/>
      </c>
    </row>
    <row r="900">
      <c r="A900" s="33" t="n"/>
      <c r="B900" s="16" t="n"/>
      <c r="C900" s="16" t="n"/>
      <c r="D900" s="16" t="n"/>
      <c r="E900" s="16" t="n"/>
      <c r="F900" s="34" t="n"/>
      <c r="G900" s="18" t="n"/>
      <c r="H900" s="35">
        <f>IF($F900="","",$F900*$G900/100)</f>
        <v/>
      </c>
      <c r="I900" s="18" t="n"/>
      <c r="J900" s="35">
        <f>IF($F900="","",$H900*$I900/100)</f>
        <v/>
      </c>
      <c r="K900" s="18" t="n"/>
      <c r="L900" s="35">
        <f>IF($F900="","",$F900*$K900/100)</f>
        <v/>
      </c>
      <c r="M900" s="20">
        <f>IF($A900="","",ROUNDUP(MONTH($A900)/3,0))</f>
        <v/>
      </c>
    </row>
    <row r="901">
      <c r="A901" s="33" t="n"/>
      <c r="B901" s="16" t="n"/>
      <c r="C901" s="16" t="n"/>
      <c r="D901" s="16" t="n"/>
      <c r="E901" s="16" t="n"/>
      <c r="F901" s="34" t="n"/>
      <c r="G901" s="18" t="n"/>
      <c r="H901" s="35">
        <f>IF($F901="","",$F901*$G901/100)</f>
        <v/>
      </c>
      <c r="I901" s="18" t="n"/>
      <c r="J901" s="35">
        <f>IF($F901="","",$H901*$I901/100)</f>
        <v/>
      </c>
      <c r="K901" s="18" t="n"/>
      <c r="L901" s="35">
        <f>IF($F901="","",$F901*$K901/100)</f>
        <v/>
      </c>
      <c r="M901" s="20">
        <f>IF($A901="","",ROUNDUP(MONTH($A901)/3,0))</f>
        <v/>
      </c>
    </row>
    <row r="902">
      <c r="A902" s="33" t="n"/>
      <c r="B902" s="16" t="n"/>
      <c r="C902" s="16" t="n"/>
      <c r="D902" s="16" t="n"/>
      <c r="E902" s="16" t="n"/>
      <c r="F902" s="34" t="n"/>
      <c r="G902" s="18" t="n"/>
      <c r="H902" s="35">
        <f>IF($F902="","",$F902*$G902/100)</f>
        <v/>
      </c>
      <c r="I902" s="18" t="n"/>
      <c r="J902" s="35">
        <f>IF($F902="","",$H902*$I902/100)</f>
        <v/>
      </c>
      <c r="K902" s="18" t="n"/>
      <c r="L902" s="35">
        <f>IF($F902="","",$F902*$K902/100)</f>
        <v/>
      </c>
      <c r="M902" s="20">
        <f>IF($A902="","",ROUNDUP(MONTH($A902)/3,0))</f>
        <v/>
      </c>
    </row>
    <row r="903">
      <c r="A903" s="33" t="n"/>
      <c r="B903" s="16" t="n"/>
      <c r="C903" s="16" t="n"/>
      <c r="D903" s="16" t="n"/>
      <c r="E903" s="16" t="n"/>
      <c r="F903" s="34" t="n"/>
      <c r="G903" s="18" t="n"/>
      <c r="H903" s="35">
        <f>IF($F903="","",$F903*$G903/100)</f>
        <v/>
      </c>
      <c r="I903" s="18" t="n"/>
      <c r="J903" s="35">
        <f>IF($F903="","",$H903*$I903/100)</f>
        <v/>
      </c>
      <c r="K903" s="18" t="n"/>
      <c r="L903" s="35">
        <f>IF($F903="","",$F903*$K903/100)</f>
        <v/>
      </c>
      <c r="M903" s="20">
        <f>IF($A903="","",ROUNDUP(MONTH($A903)/3,0))</f>
        <v/>
      </c>
    </row>
    <row r="904">
      <c r="A904" s="33" t="n"/>
      <c r="B904" s="16" t="n"/>
      <c r="C904" s="16" t="n"/>
      <c r="D904" s="16" t="n"/>
      <c r="E904" s="16" t="n"/>
      <c r="F904" s="34" t="n"/>
      <c r="G904" s="18" t="n"/>
      <c r="H904" s="35">
        <f>IF($F904="","",$F904*$G904/100)</f>
        <v/>
      </c>
      <c r="I904" s="18" t="n"/>
      <c r="J904" s="35">
        <f>IF($F904="","",$H904*$I904/100)</f>
        <v/>
      </c>
      <c r="K904" s="18" t="n"/>
      <c r="L904" s="35">
        <f>IF($F904="","",$F904*$K904/100)</f>
        <v/>
      </c>
      <c r="M904" s="20">
        <f>IF($A904="","",ROUNDUP(MONTH($A904)/3,0))</f>
        <v/>
      </c>
    </row>
    <row r="905">
      <c r="A905" s="33" t="n"/>
      <c r="B905" s="16" t="n"/>
      <c r="C905" s="16" t="n"/>
      <c r="D905" s="16" t="n"/>
      <c r="E905" s="16" t="n"/>
      <c r="F905" s="34" t="n"/>
      <c r="G905" s="18" t="n"/>
      <c r="H905" s="35">
        <f>IF($F905="","",$F905*$G905/100)</f>
        <v/>
      </c>
      <c r="I905" s="18" t="n"/>
      <c r="J905" s="35">
        <f>IF($F905="","",$H905*$I905/100)</f>
        <v/>
      </c>
      <c r="K905" s="18" t="n"/>
      <c r="L905" s="35">
        <f>IF($F905="","",$F905*$K905/100)</f>
        <v/>
      </c>
      <c r="M905" s="20">
        <f>IF($A905="","",ROUNDUP(MONTH($A905)/3,0))</f>
        <v/>
      </c>
    </row>
    <row r="906">
      <c r="A906" s="33" t="n"/>
      <c r="B906" s="16" t="n"/>
      <c r="C906" s="16" t="n"/>
      <c r="D906" s="16" t="n"/>
      <c r="E906" s="16" t="n"/>
      <c r="F906" s="34" t="n"/>
      <c r="G906" s="18" t="n"/>
      <c r="H906" s="35">
        <f>IF($F906="","",$F906*$G906/100)</f>
        <v/>
      </c>
      <c r="I906" s="18" t="n"/>
      <c r="J906" s="35">
        <f>IF($F906="","",$H906*$I906/100)</f>
        <v/>
      </c>
      <c r="K906" s="18" t="n"/>
      <c r="L906" s="35">
        <f>IF($F906="","",$F906*$K906/100)</f>
        <v/>
      </c>
      <c r="M906" s="20">
        <f>IF($A906="","",ROUNDUP(MONTH($A906)/3,0))</f>
        <v/>
      </c>
    </row>
    <row r="907">
      <c r="A907" s="33" t="n"/>
      <c r="B907" s="16" t="n"/>
      <c r="C907" s="16" t="n"/>
      <c r="D907" s="16" t="n"/>
      <c r="E907" s="16" t="n"/>
      <c r="F907" s="34" t="n"/>
      <c r="G907" s="18" t="n"/>
      <c r="H907" s="35">
        <f>IF($F907="","",$F907*$G907/100)</f>
        <v/>
      </c>
      <c r="I907" s="18" t="n"/>
      <c r="J907" s="35">
        <f>IF($F907="","",$H907*$I907/100)</f>
        <v/>
      </c>
      <c r="K907" s="18" t="n"/>
      <c r="L907" s="35">
        <f>IF($F907="","",$F907*$K907/100)</f>
        <v/>
      </c>
      <c r="M907" s="20">
        <f>IF($A907="","",ROUNDUP(MONTH($A907)/3,0))</f>
        <v/>
      </c>
    </row>
    <row r="908">
      <c r="A908" s="33" t="n"/>
      <c r="B908" s="16" t="n"/>
      <c r="C908" s="16" t="n"/>
      <c r="D908" s="16" t="n"/>
      <c r="E908" s="16" t="n"/>
      <c r="F908" s="34" t="n"/>
      <c r="G908" s="18" t="n"/>
      <c r="H908" s="35">
        <f>IF($F908="","",$F908*$G908/100)</f>
        <v/>
      </c>
      <c r="I908" s="18" t="n"/>
      <c r="J908" s="35">
        <f>IF($F908="","",$H908*$I908/100)</f>
        <v/>
      </c>
      <c r="K908" s="18" t="n"/>
      <c r="L908" s="35">
        <f>IF($F908="","",$F908*$K908/100)</f>
        <v/>
      </c>
      <c r="M908" s="20">
        <f>IF($A908="","",ROUNDUP(MONTH($A908)/3,0))</f>
        <v/>
      </c>
    </row>
    <row r="909">
      <c r="A909" s="33" t="n"/>
      <c r="B909" s="16" t="n"/>
      <c r="C909" s="16" t="n"/>
      <c r="D909" s="16" t="n"/>
      <c r="E909" s="16" t="n"/>
      <c r="F909" s="34" t="n"/>
      <c r="G909" s="18" t="n"/>
      <c r="H909" s="35">
        <f>IF($F909="","",$F909*$G909/100)</f>
        <v/>
      </c>
      <c r="I909" s="18" t="n"/>
      <c r="J909" s="35">
        <f>IF($F909="","",$H909*$I909/100)</f>
        <v/>
      </c>
      <c r="K909" s="18" t="n"/>
      <c r="L909" s="35">
        <f>IF($F909="","",$F909*$K909/100)</f>
        <v/>
      </c>
      <c r="M909" s="20">
        <f>IF($A909="","",ROUNDUP(MONTH($A909)/3,0))</f>
        <v/>
      </c>
    </row>
    <row r="910">
      <c r="A910" s="33" t="n"/>
      <c r="B910" s="16" t="n"/>
      <c r="C910" s="16" t="n"/>
      <c r="D910" s="16" t="n"/>
      <c r="E910" s="16" t="n"/>
      <c r="F910" s="34" t="n"/>
      <c r="G910" s="18" t="n"/>
      <c r="H910" s="35">
        <f>IF($F910="","",$F910*$G910/100)</f>
        <v/>
      </c>
      <c r="I910" s="18" t="n"/>
      <c r="J910" s="35">
        <f>IF($F910="","",$H910*$I910/100)</f>
        <v/>
      </c>
      <c r="K910" s="18" t="n"/>
      <c r="L910" s="35">
        <f>IF($F910="","",$F910*$K910/100)</f>
        <v/>
      </c>
      <c r="M910" s="20">
        <f>IF($A910="","",ROUNDUP(MONTH($A910)/3,0))</f>
        <v/>
      </c>
    </row>
    <row r="911">
      <c r="A911" s="33" t="n"/>
      <c r="B911" s="16" t="n"/>
      <c r="C911" s="16" t="n"/>
      <c r="D911" s="16" t="n"/>
      <c r="E911" s="16" t="n"/>
      <c r="F911" s="34" t="n"/>
      <c r="G911" s="18" t="n"/>
      <c r="H911" s="35">
        <f>IF($F911="","",$F911*$G911/100)</f>
        <v/>
      </c>
      <c r="I911" s="18" t="n"/>
      <c r="J911" s="35">
        <f>IF($F911="","",$H911*$I911/100)</f>
        <v/>
      </c>
      <c r="K911" s="18" t="n"/>
      <c r="L911" s="35">
        <f>IF($F911="","",$F911*$K911/100)</f>
        <v/>
      </c>
      <c r="M911" s="20">
        <f>IF($A911="","",ROUNDUP(MONTH($A911)/3,0))</f>
        <v/>
      </c>
    </row>
    <row r="912">
      <c r="A912" s="33" t="n"/>
      <c r="B912" s="16" t="n"/>
      <c r="C912" s="16" t="n"/>
      <c r="D912" s="16" t="n"/>
      <c r="E912" s="16" t="n"/>
      <c r="F912" s="34" t="n"/>
      <c r="G912" s="18" t="n"/>
      <c r="H912" s="35">
        <f>IF($F912="","",$F912*$G912/100)</f>
        <v/>
      </c>
      <c r="I912" s="18" t="n"/>
      <c r="J912" s="35">
        <f>IF($F912="","",$H912*$I912/100)</f>
        <v/>
      </c>
      <c r="K912" s="18" t="n"/>
      <c r="L912" s="35">
        <f>IF($F912="","",$F912*$K912/100)</f>
        <v/>
      </c>
      <c r="M912" s="20">
        <f>IF($A912="","",ROUNDUP(MONTH($A912)/3,0))</f>
        <v/>
      </c>
    </row>
    <row r="913">
      <c r="A913" s="33" t="n"/>
      <c r="B913" s="16" t="n"/>
      <c r="C913" s="16" t="n"/>
      <c r="D913" s="16" t="n"/>
      <c r="E913" s="16" t="n"/>
      <c r="F913" s="34" t="n"/>
      <c r="G913" s="18" t="n"/>
      <c r="H913" s="35">
        <f>IF($F913="","",$F913*$G913/100)</f>
        <v/>
      </c>
      <c r="I913" s="18" t="n"/>
      <c r="J913" s="35">
        <f>IF($F913="","",$H913*$I913/100)</f>
        <v/>
      </c>
      <c r="K913" s="18" t="n"/>
      <c r="L913" s="35">
        <f>IF($F913="","",$F913*$K913/100)</f>
        <v/>
      </c>
      <c r="M913" s="20">
        <f>IF($A913="","",ROUNDUP(MONTH($A913)/3,0))</f>
        <v/>
      </c>
    </row>
    <row r="914">
      <c r="A914" s="33" t="n"/>
      <c r="B914" s="16" t="n"/>
      <c r="C914" s="16" t="n"/>
      <c r="D914" s="16" t="n"/>
      <c r="E914" s="16" t="n"/>
      <c r="F914" s="34" t="n"/>
      <c r="G914" s="18" t="n"/>
      <c r="H914" s="35">
        <f>IF($F914="","",$F914*$G914/100)</f>
        <v/>
      </c>
      <c r="I914" s="18" t="n"/>
      <c r="J914" s="35">
        <f>IF($F914="","",$H914*$I914/100)</f>
        <v/>
      </c>
      <c r="K914" s="18" t="n"/>
      <c r="L914" s="35">
        <f>IF($F914="","",$F914*$K914/100)</f>
        <v/>
      </c>
      <c r="M914" s="20">
        <f>IF($A914="","",ROUNDUP(MONTH($A914)/3,0))</f>
        <v/>
      </c>
    </row>
    <row r="915">
      <c r="A915" s="33" t="n"/>
      <c r="B915" s="16" t="n"/>
      <c r="C915" s="16" t="n"/>
      <c r="D915" s="16" t="n"/>
      <c r="E915" s="16" t="n"/>
      <c r="F915" s="34" t="n"/>
      <c r="G915" s="18" t="n"/>
      <c r="H915" s="35">
        <f>IF($F915="","",$F915*$G915/100)</f>
        <v/>
      </c>
      <c r="I915" s="18" t="n"/>
      <c r="J915" s="35">
        <f>IF($F915="","",$H915*$I915/100)</f>
        <v/>
      </c>
      <c r="K915" s="18" t="n"/>
      <c r="L915" s="35">
        <f>IF($F915="","",$F915*$K915/100)</f>
        <v/>
      </c>
      <c r="M915" s="20">
        <f>IF($A915="","",ROUNDUP(MONTH($A915)/3,0))</f>
        <v/>
      </c>
    </row>
    <row r="916">
      <c r="A916" s="33" t="n"/>
      <c r="B916" s="16" t="n"/>
      <c r="C916" s="16" t="n"/>
      <c r="D916" s="16" t="n"/>
      <c r="E916" s="16" t="n"/>
      <c r="F916" s="34" t="n"/>
      <c r="G916" s="18" t="n"/>
      <c r="H916" s="35">
        <f>IF($F916="","",$F916*$G916/100)</f>
        <v/>
      </c>
      <c r="I916" s="18" t="n"/>
      <c r="J916" s="35">
        <f>IF($F916="","",$H916*$I916/100)</f>
        <v/>
      </c>
      <c r="K916" s="18" t="n"/>
      <c r="L916" s="35">
        <f>IF($F916="","",$F916*$K916/100)</f>
        <v/>
      </c>
      <c r="M916" s="20">
        <f>IF($A916="","",ROUNDUP(MONTH($A916)/3,0))</f>
        <v/>
      </c>
    </row>
    <row r="917">
      <c r="A917" s="33" t="n"/>
      <c r="B917" s="16" t="n"/>
      <c r="C917" s="16" t="n"/>
      <c r="D917" s="16" t="n"/>
      <c r="E917" s="16" t="n"/>
      <c r="F917" s="34" t="n"/>
      <c r="G917" s="18" t="n"/>
      <c r="H917" s="35">
        <f>IF($F917="","",$F917*$G917/100)</f>
        <v/>
      </c>
      <c r="I917" s="18" t="n"/>
      <c r="J917" s="35">
        <f>IF($F917="","",$H917*$I917/100)</f>
        <v/>
      </c>
      <c r="K917" s="18" t="n"/>
      <c r="L917" s="35">
        <f>IF($F917="","",$F917*$K917/100)</f>
        <v/>
      </c>
      <c r="M917" s="20">
        <f>IF($A917="","",ROUNDUP(MONTH($A917)/3,0))</f>
        <v/>
      </c>
    </row>
    <row r="918">
      <c r="A918" s="33" t="n"/>
      <c r="B918" s="16" t="n"/>
      <c r="C918" s="16" t="n"/>
      <c r="D918" s="16" t="n"/>
      <c r="E918" s="16" t="n"/>
      <c r="F918" s="34" t="n"/>
      <c r="G918" s="18" t="n"/>
      <c r="H918" s="35">
        <f>IF($F918="","",$F918*$G918/100)</f>
        <v/>
      </c>
      <c r="I918" s="18" t="n"/>
      <c r="J918" s="35">
        <f>IF($F918="","",$H918*$I918/100)</f>
        <v/>
      </c>
      <c r="K918" s="18" t="n"/>
      <c r="L918" s="35">
        <f>IF($F918="","",$F918*$K918/100)</f>
        <v/>
      </c>
      <c r="M918" s="20">
        <f>IF($A918="","",ROUNDUP(MONTH($A918)/3,0))</f>
        <v/>
      </c>
    </row>
    <row r="919">
      <c r="A919" s="33" t="n"/>
      <c r="B919" s="16" t="n"/>
      <c r="C919" s="16" t="n"/>
      <c r="D919" s="16" t="n"/>
      <c r="E919" s="16" t="n"/>
      <c r="F919" s="34" t="n"/>
      <c r="G919" s="18" t="n"/>
      <c r="H919" s="35">
        <f>IF($F919="","",$F919*$G919/100)</f>
        <v/>
      </c>
      <c r="I919" s="18" t="n"/>
      <c r="J919" s="35">
        <f>IF($F919="","",$H919*$I919/100)</f>
        <v/>
      </c>
      <c r="K919" s="18" t="n"/>
      <c r="L919" s="35">
        <f>IF($F919="","",$F919*$K919/100)</f>
        <v/>
      </c>
      <c r="M919" s="20">
        <f>IF($A919="","",ROUNDUP(MONTH($A919)/3,0))</f>
        <v/>
      </c>
    </row>
    <row r="920">
      <c r="A920" s="33" t="n"/>
      <c r="B920" s="16" t="n"/>
      <c r="C920" s="16" t="n"/>
      <c r="D920" s="16" t="n"/>
      <c r="E920" s="16" t="n"/>
      <c r="F920" s="34" t="n"/>
      <c r="G920" s="18" t="n"/>
      <c r="H920" s="35">
        <f>IF($F920="","",$F920*$G920/100)</f>
        <v/>
      </c>
      <c r="I920" s="18" t="n"/>
      <c r="J920" s="35">
        <f>IF($F920="","",$H920*$I920/100)</f>
        <v/>
      </c>
      <c r="K920" s="18" t="n"/>
      <c r="L920" s="35">
        <f>IF($F920="","",$F920*$K920/100)</f>
        <v/>
      </c>
      <c r="M920" s="20">
        <f>IF($A920="","",ROUNDUP(MONTH($A920)/3,0))</f>
        <v/>
      </c>
    </row>
    <row r="921">
      <c r="A921" s="33" t="n"/>
      <c r="B921" s="16" t="n"/>
      <c r="C921" s="16" t="n"/>
      <c r="D921" s="16" t="n"/>
      <c r="E921" s="16" t="n"/>
      <c r="F921" s="34" t="n"/>
      <c r="G921" s="18" t="n"/>
      <c r="H921" s="35">
        <f>IF($F921="","",$F921*$G921/100)</f>
        <v/>
      </c>
      <c r="I921" s="18" t="n"/>
      <c r="J921" s="35">
        <f>IF($F921="","",$H921*$I921/100)</f>
        <v/>
      </c>
      <c r="K921" s="18" t="n"/>
      <c r="L921" s="35">
        <f>IF($F921="","",$F921*$K921/100)</f>
        <v/>
      </c>
      <c r="M921" s="20">
        <f>IF($A921="","",ROUNDUP(MONTH($A921)/3,0))</f>
        <v/>
      </c>
    </row>
    <row r="922">
      <c r="A922" s="33" t="n"/>
      <c r="B922" s="16" t="n"/>
      <c r="C922" s="16" t="n"/>
      <c r="D922" s="16" t="n"/>
      <c r="E922" s="16" t="n"/>
      <c r="F922" s="34" t="n"/>
      <c r="G922" s="18" t="n"/>
      <c r="H922" s="35">
        <f>IF($F922="","",$F922*$G922/100)</f>
        <v/>
      </c>
      <c r="I922" s="18" t="n"/>
      <c r="J922" s="35">
        <f>IF($F922="","",$H922*$I922/100)</f>
        <v/>
      </c>
      <c r="K922" s="18" t="n"/>
      <c r="L922" s="35">
        <f>IF($F922="","",$F922*$K922/100)</f>
        <v/>
      </c>
      <c r="M922" s="20">
        <f>IF($A922="","",ROUNDUP(MONTH($A922)/3,0))</f>
        <v/>
      </c>
    </row>
    <row r="923">
      <c r="A923" s="33" t="n"/>
      <c r="B923" s="16" t="n"/>
      <c r="C923" s="16" t="n"/>
      <c r="D923" s="16" t="n"/>
      <c r="E923" s="16" t="n"/>
      <c r="F923" s="34" t="n"/>
      <c r="G923" s="18" t="n"/>
      <c r="H923" s="35">
        <f>IF($F923="","",$F923*$G923/100)</f>
        <v/>
      </c>
      <c r="I923" s="18" t="n"/>
      <c r="J923" s="35">
        <f>IF($F923="","",$H923*$I923/100)</f>
        <v/>
      </c>
      <c r="K923" s="18" t="n"/>
      <c r="L923" s="35">
        <f>IF($F923="","",$F923*$K923/100)</f>
        <v/>
      </c>
      <c r="M923" s="20">
        <f>IF($A923="","",ROUNDUP(MONTH($A923)/3,0))</f>
        <v/>
      </c>
    </row>
    <row r="924">
      <c r="A924" s="33" t="n"/>
      <c r="B924" s="16" t="n"/>
      <c r="C924" s="16" t="n"/>
      <c r="D924" s="16" t="n"/>
      <c r="E924" s="16" t="n"/>
      <c r="F924" s="34" t="n"/>
      <c r="G924" s="18" t="n"/>
      <c r="H924" s="35">
        <f>IF($F924="","",$F924*$G924/100)</f>
        <v/>
      </c>
      <c r="I924" s="18" t="n"/>
      <c r="J924" s="35">
        <f>IF($F924="","",$H924*$I924/100)</f>
        <v/>
      </c>
      <c r="K924" s="18" t="n"/>
      <c r="L924" s="35">
        <f>IF($F924="","",$F924*$K924/100)</f>
        <v/>
      </c>
      <c r="M924" s="20">
        <f>IF($A924="","",ROUNDUP(MONTH($A924)/3,0))</f>
        <v/>
      </c>
    </row>
    <row r="925">
      <c r="A925" s="33" t="n"/>
      <c r="B925" s="16" t="n"/>
      <c r="C925" s="16" t="n"/>
      <c r="D925" s="16" t="n"/>
      <c r="E925" s="16" t="n"/>
      <c r="F925" s="34" t="n"/>
      <c r="G925" s="18" t="n"/>
      <c r="H925" s="35">
        <f>IF($F925="","",$F925*$G925/100)</f>
        <v/>
      </c>
      <c r="I925" s="18" t="n"/>
      <c r="J925" s="35">
        <f>IF($F925="","",$H925*$I925/100)</f>
        <v/>
      </c>
      <c r="K925" s="18" t="n"/>
      <c r="L925" s="35">
        <f>IF($F925="","",$F925*$K925/100)</f>
        <v/>
      </c>
      <c r="M925" s="20">
        <f>IF($A925="","",ROUNDUP(MONTH($A925)/3,0))</f>
        <v/>
      </c>
    </row>
    <row r="926">
      <c r="A926" s="33" t="n"/>
      <c r="B926" s="16" t="n"/>
      <c r="C926" s="16" t="n"/>
      <c r="D926" s="16" t="n"/>
      <c r="E926" s="16" t="n"/>
      <c r="F926" s="34" t="n"/>
      <c r="G926" s="18" t="n"/>
      <c r="H926" s="35">
        <f>IF($F926="","",$F926*$G926/100)</f>
        <v/>
      </c>
      <c r="I926" s="18" t="n"/>
      <c r="J926" s="35">
        <f>IF($F926="","",$H926*$I926/100)</f>
        <v/>
      </c>
      <c r="K926" s="18" t="n"/>
      <c r="L926" s="35">
        <f>IF($F926="","",$F926*$K926/100)</f>
        <v/>
      </c>
      <c r="M926" s="20">
        <f>IF($A926="","",ROUNDUP(MONTH($A926)/3,0))</f>
        <v/>
      </c>
    </row>
    <row r="927">
      <c r="A927" s="33" t="n"/>
      <c r="B927" s="16" t="n"/>
      <c r="C927" s="16" t="n"/>
      <c r="D927" s="16" t="n"/>
      <c r="E927" s="16" t="n"/>
      <c r="F927" s="34" t="n"/>
      <c r="G927" s="18" t="n"/>
      <c r="H927" s="35">
        <f>IF($F927="","",$F927*$G927/100)</f>
        <v/>
      </c>
      <c r="I927" s="18" t="n"/>
      <c r="J927" s="35">
        <f>IF($F927="","",$H927*$I927/100)</f>
        <v/>
      </c>
      <c r="K927" s="18" t="n"/>
      <c r="L927" s="35">
        <f>IF($F927="","",$F927*$K927/100)</f>
        <v/>
      </c>
      <c r="M927" s="20">
        <f>IF($A927="","",ROUNDUP(MONTH($A927)/3,0))</f>
        <v/>
      </c>
    </row>
    <row r="928">
      <c r="A928" s="33" t="n"/>
      <c r="B928" s="16" t="n"/>
      <c r="C928" s="16" t="n"/>
      <c r="D928" s="16" t="n"/>
      <c r="E928" s="16" t="n"/>
      <c r="F928" s="34" t="n"/>
      <c r="G928" s="18" t="n"/>
      <c r="H928" s="35">
        <f>IF($F928="","",$F928*$G928/100)</f>
        <v/>
      </c>
      <c r="I928" s="18" t="n"/>
      <c r="J928" s="35">
        <f>IF($F928="","",$H928*$I928/100)</f>
        <v/>
      </c>
      <c r="K928" s="18" t="n"/>
      <c r="L928" s="35">
        <f>IF($F928="","",$F928*$K928/100)</f>
        <v/>
      </c>
      <c r="M928" s="20">
        <f>IF($A928="","",ROUNDUP(MONTH($A928)/3,0))</f>
        <v/>
      </c>
    </row>
    <row r="929">
      <c r="A929" s="33" t="n"/>
      <c r="B929" s="16" t="n"/>
      <c r="C929" s="16" t="n"/>
      <c r="D929" s="16" t="n"/>
      <c r="E929" s="16" t="n"/>
      <c r="F929" s="34" t="n"/>
      <c r="G929" s="18" t="n"/>
      <c r="H929" s="35">
        <f>IF($F929="","",$F929*$G929/100)</f>
        <v/>
      </c>
      <c r="I929" s="18" t="n"/>
      <c r="J929" s="35">
        <f>IF($F929="","",$H929*$I929/100)</f>
        <v/>
      </c>
      <c r="K929" s="18" t="n"/>
      <c r="L929" s="35">
        <f>IF($F929="","",$F929*$K929/100)</f>
        <v/>
      </c>
      <c r="M929" s="20">
        <f>IF($A929="","",ROUNDUP(MONTH($A929)/3,0))</f>
        <v/>
      </c>
    </row>
    <row r="930">
      <c r="A930" s="33" t="n"/>
      <c r="B930" s="16" t="n"/>
      <c r="C930" s="16" t="n"/>
      <c r="D930" s="16" t="n"/>
      <c r="E930" s="16" t="n"/>
      <c r="F930" s="34" t="n"/>
      <c r="G930" s="18" t="n"/>
      <c r="H930" s="35">
        <f>IF($F930="","",$F930*$G930/100)</f>
        <v/>
      </c>
      <c r="I930" s="18" t="n"/>
      <c r="J930" s="35">
        <f>IF($F930="","",$H930*$I930/100)</f>
        <v/>
      </c>
      <c r="K930" s="18" t="n"/>
      <c r="L930" s="35">
        <f>IF($F930="","",$F930*$K930/100)</f>
        <v/>
      </c>
      <c r="M930" s="20">
        <f>IF($A930="","",ROUNDUP(MONTH($A930)/3,0))</f>
        <v/>
      </c>
    </row>
    <row r="931">
      <c r="A931" s="33" t="n"/>
      <c r="B931" s="16" t="n"/>
      <c r="C931" s="16" t="n"/>
      <c r="D931" s="16" t="n"/>
      <c r="E931" s="16" t="n"/>
      <c r="F931" s="34" t="n"/>
      <c r="G931" s="18" t="n"/>
      <c r="H931" s="35">
        <f>IF($F931="","",$F931*$G931/100)</f>
        <v/>
      </c>
      <c r="I931" s="18" t="n"/>
      <c r="J931" s="35">
        <f>IF($F931="","",$H931*$I931/100)</f>
        <v/>
      </c>
      <c r="K931" s="18" t="n"/>
      <c r="L931" s="35">
        <f>IF($F931="","",$F931*$K931/100)</f>
        <v/>
      </c>
      <c r="M931" s="20">
        <f>IF($A931="","",ROUNDUP(MONTH($A931)/3,0))</f>
        <v/>
      </c>
    </row>
    <row r="932">
      <c r="A932" s="33" t="n"/>
      <c r="B932" s="16" t="n"/>
      <c r="C932" s="16" t="n"/>
      <c r="D932" s="16" t="n"/>
      <c r="E932" s="16" t="n"/>
      <c r="F932" s="34" t="n"/>
      <c r="G932" s="18" t="n"/>
      <c r="H932" s="35">
        <f>IF($F932="","",$F932*$G932/100)</f>
        <v/>
      </c>
      <c r="I932" s="18" t="n"/>
      <c r="J932" s="35">
        <f>IF($F932="","",$H932*$I932/100)</f>
        <v/>
      </c>
      <c r="K932" s="18" t="n"/>
      <c r="L932" s="35">
        <f>IF($F932="","",$F932*$K932/100)</f>
        <v/>
      </c>
      <c r="M932" s="20">
        <f>IF($A932="","",ROUNDUP(MONTH($A932)/3,0))</f>
        <v/>
      </c>
    </row>
    <row r="933">
      <c r="A933" s="33" t="n"/>
      <c r="B933" s="16" t="n"/>
      <c r="C933" s="16" t="n"/>
      <c r="D933" s="16" t="n"/>
      <c r="E933" s="16" t="n"/>
      <c r="F933" s="34" t="n"/>
      <c r="G933" s="18" t="n"/>
      <c r="H933" s="35">
        <f>IF($F933="","",$F933*$G933/100)</f>
        <v/>
      </c>
      <c r="I933" s="18" t="n"/>
      <c r="J933" s="35">
        <f>IF($F933="","",$H933*$I933/100)</f>
        <v/>
      </c>
      <c r="K933" s="18" t="n"/>
      <c r="L933" s="35">
        <f>IF($F933="","",$F933*$K933/100)</f>
        <v/>
      </c>
      <c r="M933" s="20">
        <f>IF($A933="","",ROUNDUP(MONTH($A933)/3,0))</f>
        <v/>
      </c>
    </row>
    <row r="934">
      <c r="A934" s="33" t="n"/>
      <c r="B934" s="16" t="n"/>
      <c r="C934" s="16" t="n"/>
      <c r="D934" s="16" t="n"/>
      <c r="E934" s="16" t="n"/>
      <c r="F934" s="34" t="n"/>
      <c r="G934" s="18" t="n"/>
      <c r="H934" s="35">
        <f>IF($F934="","",$F934*$G934/100)</f>
        <v/>
      </c>
      <c r="I934" s="18" t="n"/>
      <c r="J934" s="35">
        <f>IF($F934="","",$H934*$I934/100)</f>
        <v/>
      </c>
      <c r="K934" s="18" t="n"/>
      <c r="L934" s="35">
        <f>IF($F934="","",$F934*$K934/100)</f>
        <v/>
      </c>
      <c r="M934" s="20">
        <f>IF($A934="","",ROUNDUP(MONTH($A934)/3,0))</f>
        <v/>
      </c>
    </row>
    <row r="935">
      <c r="A935" s="33" t="n"/>
      <c r="B935" s="16" t="n"/>
      <c r="C935" s="16" t="n"/>
      <c r="D935" s="16" t="n"/>
      <c r="E935" s="16" t="n"/>
      <c r="F935" s="34" t="n"/>
      <c r="G935" s="18" t="n"/>
      <c r="H935" s="35">
        <f>IF($F935="","",$F935*$G935/100)</f>
        <v/>
      </c>
      <c r="I935" s="18" t="n"/>
      <c r="J935" s="35">
        <f>IF($F935="","",$H935*$I935/100)</f>
        <v/>
      </c>
      <c r="K935" s="18" t="n"/>
      <c r="L935" s="35">
        <f>IF($F935="","",$F935*$K935/100)</f>
        <v/>
      </c>
      <c r="M935" s="20">
        <f>IF($A935="","",ROUNDUP(MONTH($A935)/3,0))</f>
        <v/>
      </c>
    </row>
    <row r="936">
      <c r="A936" s="33" t="n"/>
      <c r="B936" s="16" t="n"/>
      <c r="C936" s="16" t="n"/>
      <c r="D936" s="16" t="n"/>
      <c r="E936" s="16" t="n"/>
      <c r="F936" s="34" t="n"/>
      <c r="G936" s="18" t="n"/>
      <c r="H936" s="35">
        <f>IF($F936="","",$F936*$G936/100)</f>
        <v/>
      </c>
      <c r="I936" s="18" t="n"/>
      <c r="J936" s="35">
        <f>IF($F936="","",$H936*$I936/100)</f>
        <v/>
      </c>
      <c r="K936" s="18" t="n"/>
      <c r="L936" s="35">
        <f>IF($F936="","",$F936*$K936/100)</f>
        <v/>
      </c>
      <c r="M936" s="20">
        <f>IF($A936="","",ROUNDUP(MONTH($A936)/3,0))</f>
        <v/>
      </c>
    </row>
    <row r="937">
      <c r="A937" s="33" t="n"/>
      <c r="B937" s="16" t="n"/>
      <c r="C937" s="16" t="n"/>
      <c r="D937" s="16" t="n"/>
      <c r="E937" s="16" t="n"/>
      <c r="F937" s="34" t="n"/>
      <c r="G937" s="18" t="n"/>
      <c r="H937" s="35">
        <f>IF($F937="","",$F937*$G937/100)</f>
        <v/>
      </c>
      <c r="I937" s="18" t="n"/>
      <c r="J937" s="35">
        <f>IF($F937="","",$H937*$I937/100)</f>
        <v/>
      </c>
      <c r="K937" s="18" t="n"/>
      <c r="L937" s="35">
        <f>IF($F937="","",$F937*$K937/100)</f>
        <v/>
      </c>
      <c r="M937" s="20">
        <f>IF($A937="","",ROUNDUP(MONTH($A937)/3,0))</f>
        <v/>
      </c>
    </row>
    <row r="938">
      <c r="A938" s="33" t="n"/>
      <c r="B938" s="16" t="n"/>
      <c r="C938" s="16" t="n"/>
      <c r="D938" s="16" t="n"/>
      <c r="E938" s="16" t="n"/>
      <c r="F938" s="34" t="n"/>
      <c r="G938" s="18" t="n"/>
      <c r="H938" s="35">
        <f>IF($F938="","",$F938*$G938/100)</f>
        <v/>
      </c>
      <c r="I938" s="18" t="n"/>
      <c r="J938" s="35">
        <f>IF($F938="","",$H938*$I938/100)</f>
        <v/>
      </c>
      <c r="K938" s="18" t="n"/>
      <c r="L938" s="35">
        <f>IF($F938="","",$F938*$K938/100)</f>
        <v/>
      </c>
      <c r="M938" s="20">
        <f>IF($A938="","",ROUNDUP(MONTH($A938)/3,0))</f>
        <v/>
      </c>
    </row>
    <row r="939">
      <c r="A939" s="33" t="n"/>
      <c r="B939" s="16" t="n"/>
      <c r="C939" s="16" t="n"/>
      <c r="D939" s="16" t="n"/>
      <c r="E939" s="16" t="n"/>
      <c r="F939" s="34" t="n"/>
      <c r="G939" s="18" t="n"/>
      <c r="H939" s="35">
        <f>IF($F939="","",$F939*$G939/100)</f>
        <v/>
      </c>
      <c r="I939" s="18" t="n"/>
      <c r="J939" s="35">
        <f>IF($F939="","",$H939*$I939/100)</f>
        <v/>
      </c>
      <c r="K939" s="18" t="n"/>
      <c r="L939" s="35">
        <f>IF($F939="","",$F939*$K939/100)</f>
        <v/>
      </c>
      <c r="M939" s="20">
        <f>IF($A939="","",ROUNDUP(MONTH($A939)/3,0))</f>
        <v/>
      </c>
    </row>
    <row r="940">
      <c r="A940" s="33" t="n"/>
      <c r="B940" s="16" t="n"/>
      <c r="C940" s="16" t="n"/>
      <c r="D940" s="16" t="n"/>
      <c r="E940" s="16" t="n"/>
      <c r="F940" s="34" t="n"/>
      <c r="G940" s="18" t="n"/>
      <c r="H940" s="35">
        <f>IF($F940="","",$F940*$G940/100)</f>
        <v/>
      </c>
      <c r="I940" s="18" t="n"/>
      <c r="J940" s="35">
        <f>IF($F940="","",$H940*$I940/100)</f>
        <v/>
      </c>
      <c r="K940" s="18" t="n"/>
      <c r="L940" s="35">
        <f>IF($F940="","",$F940*$K940/100)</f>
        <v/>
      </c>
      <c r="M940" s="20">
        <f>IF($A940="","",ROUNDUP(MONTH($A940)/3,0))</f>
        <v/>
      </c>
    </row>
    <row r="941">
      <c r="A941" s="33" t="n"/>
      <c r="B941" s="16" t="n"/>
      <c r="C941" s="16" t="n"/>
      <c r="D941" s="16" t="n"/>
      <c r="E941" s="16" t="n"/>
      <c r="F941" s="34" t="n"/>
      <c r="G941" s="18" t="n"/>
      <c r="H941" s="35">
        <f>IF($F941="","",$F941*$G941/100)</f>
        <v/>
      </c>
      <c r="I941" s="18" t="n"/>
      <c r="J941" s="35">
        <f>IF($F941="","",$H941*$I941/100)</f>
        <v/>
      </c>
      <c r="K941" s="18" t="n"/>
      <c r="L941" s="35">
        <f>IF($F941="","",$F941*$K941/100)</f>
        <v/>
      </c>
      <c r="M941" s="20">
        <f>IF($A941="","",ROUNDUP(MONTH($A941)/3,0))</f>
        <v/>
      </c>
    </row>
    <row r="942">
      <c r="A942" s="33" t="n"/>
      <c r="B942" s="16" t="n"/>
      <c r="C942" s="16" t="n"/>
      <c r="D942" s="16" t="n"/>
      <c r="E942" s="16" t="n"/>
      <c r="F942" s="34" t="n"/>
      <c r="G942" s="18" t="n"/>
      <c r="H942" s="35">
        <f>IF($F942="","",$F942*$G942/100)</f>
        <v/>
      </c>
      <c r="I942" s="18" t="n"/>
      <c r="J942" s="35">
        <f>IF($F942="","",$H942*$I942/100)</f>
        <v/>
      </c>
      <c r="K942" s="18" t="n"/>
      <c r="L942" s="35">
        <f>IF($F942="","",$F942*$K942/100)</f>
        <v/>
      </c>
      <c r="M942" s="20">
        <f>IF($A942="","",ROUNDUP(MONTH($A942)/3,0))</f>
        <v/>
      </c>
    </row>
    <row r="943">
      <c r="A943" s="33" t="n"/>
      <c r="B943" s="16" t="n"/>
      <c r="C943" s="16" t="n"/>
      <c r="D943" s="16" t="n"/>
      <c r="E943" s="16" t="n"/>
      <c r="F943" s="34" t="n"/>
      <c r="G943" s="18" t="n"/>
      <c r="H943" s="35">
        <f>IF($F943="","",$F943*$G943/100)</f>
        <v/>
      </c>
      <c r="I943" s="18" t="n"/>
      <c r="J943" s="35">
        <f>IF($F943="","",$H943*$I943/100)</f>
        <v/>
      </c>
      <c r="K943" s="18" t="n"/>
      <c r="L943" s="35">
        <f>IF($F943="","",$F943*$K943/100)</f>
        <v/>
      </c>
      <c r="M943" s="20">
        <f>IF($A943="","",ROUNDUP(MONTH($A943)/3,0))</f>
        <v/>
      </c>
    </row>
    <row r="944">
      <c r="A944" s="33" t="n"/>
      <c r="B944" s="16" t="n"/>
      <c r="C944" s="16" t="n"/>
      <c r="D944" s="16" t="n"/>
      <c r="E944" s="16" t="n"/>
      <c r="F944" s="34" t="n"/>
      <c r="G944" s="18" t="n"/>
      <c r="H944" s="35">
        <f>IF($F944="","",$F944*$G944/100)</f>
        <v/>
      </c>
      <c r="I944" s="18" t="n"/>
      <c r="J944" s="35">
        <f>IF($F944="","",$H944*$I944/100)</f>
        <v/>
      </c>
      <c r="K944" s="18" t="n"/>
      <c r="L944" s="35">
        <f>IF($F944="","",$F944*$K944/100)</f>
        <v/>
      </c>
      <c r="M944" s="20">
        <f>IF($A944="","",ROUNDUP(MONTH($A944)/3,0))</f>
        <v/>
      </c>
    </row>
    <row r="945">
      <c r="A945" s="33" t="n"/>
      <c r="B945" s="16" t="n"/>
      <c r="C945" s="16" t="n"/>
      <c r="D945" s="16" t="n"/>
      <c r="E945" s="16" t="n"/>
      <c r="F945" s="34" t="n"/>
      <c r="G945" s="18" t="n"/>
      <c r="H945" s="35">
        <f>IF($F945="","",$F945*$G945/100)</f>
        <v/>
      </c>
      <c r="I945" s="18" t="n"/>
      <c r="J945" s="35">
        <f>IF($F945="","",$H945*$I945/100)</f>
        <v/>
      </c>
      <c r="K945" s="18" t="n"/>
      <c r="L945" s="35">
        <f>IF($F945="","",$F945*$K945/100)</f>
        <v/>
      </c>
      <c r="M945" s="20">
        <f>IF($A945="","",ROUNDUP(MONTH($A945)/3,0))</f>
        <v/>
      </c>
    </row>
    <row r="946">
      <c r="A946" s="33" t="n"/>
      <c r="B946" s="16" t="n"/>
      <c r="C946" s="16" t="n"/>
      <c r="D946" s="16" t="n"/>
      <c r="E946" s="16" t="n"/>
      <c r="F946" s="34" t="n"/>
      <c r="G946" s="18" t="n"/>
      <c r="H946" s="35">
        <f>IF($F946="","",$F946*$G946/100)</f>
        <v/>
      </c>
      <c r="I946" s="18" t="n"/>
      <c r="J946" s="35">
        <f>IF($F946="","",$H946*$I946/100)</f>
        <v/>
      </c>
      <c r="K946" s="18" t="n"/>
      <c r="L946" s="35">
        <f>IF($F946="","",$F946*$K946/100)</f>
        <v/>
      </c>
      <c r="M946" s="20">
        <f>IF($A946="","",ROUNDUP(MONTH($A946)/3,0))</f>
        <v/>
      </c>
    </row>
    <row r="947">
      <c r="A947" s="33" t="n"/>
      <c r="B947" s="16" t="n"/>
      <c r="C947" s="16" t="n"/>
      <c r="D947" s="16" t="n"/>
      <c r="E947" s="16" t="n"/>
      <c r="F947" s="34" t="n"/>
      <c r="G947" s="18" t="n"/>
      <c r="H947" s="35">
        <f>IF($F947="","",$F947*$G947/100)</f>
        <v/>
      </c>
      <c r="I947" s="18" t="n"/>
      <c r="J947" s="35">
        <f>IF($F947="","",$H947*$I947/100)</f>
        <v/>
      </c>
      <c r="K947" s="18" t="n"/>
      <c r="L947" s="35">
        <f>IF($F947="","",$F947*$K947/100)</f>
        <v/>
      </c>
      <c r="M947" s="20">
        <f>IF($A947="","",ROUNDUP(MONTH($A947)/3,0))</f>
        <v/>
      </c>
    </row>
    <row r="948">
      <c r="A948" s="33" t="n"/>
      <c r="B948" s="16" t="n"/>
      <c r="C948" s="16" t="n"/>
      <c r="D948" s="16" t="n"/>
      <c r="E948" s="16" t="n"/>
      <c r="F948" s="34" t="n"/>
      <c r="G948" s="18" t="n"/>
      <c r="H948" s="35">
        <f>IF($F948="","",$F948*$G948/100)</f>
        <v/>
      </c>
      <c r="I948" s="18" t="n"/>
      <c r="J948" s="35">
        <f>IF($F948="","",$H948*$I948/100)</f>
        <v/>
      </c>
      <c r="K948" s="18" t="n"/>
      <c r="L948" s="35">
        <f>IF($F948="","",$F948*$K948/100)</f>
        <v/>
      </c>
      <c r="M948" s="20">
        <f>IF($A948="","",ROUNDUP(MONTH($A948)/3,0))</f>
        <v/>
      </c>
    </row>
    <row r="949">
      <c r="A949" s="33" t="n"/>
      <c r="B949" s="16" t="n"/>
      <c r="C949" s="16" t="n"/>
      <c r="D949" s="16" t="n"/>
      <c r="E949" s="16" t="n"/>
      <c r="F949" s="34" t="n"/>
      <c r="G949" s="18" t="n"/>
      <c r="H949" s="35">
        <f>IF($F949="","",$F949*$G949/100)</f>
        <v/>
      </c>
      <c r="I949" s="18" t="n"/>
      <c r="J949" s="35">
        <f>IF($F949="","",$H949*$I949/100)</f>
        <v/>
      </c>
      <c r="K949" s="18" t="n"/>
      <c r="L949" s="35">
        <f>IF($F949="","",$F949*$K949/100)</f>
        <v/>
      </c>
      <c r="M949" s="20">
        <f>IF($A949="","",ROUNDUP(MONTH($A949)/3,0))</f>
        <v/>
      </c>
    </row>
    <row r="950">
      <c r="A950" s="33" t="n"/>
      <c r="B950" s="16" t="n"/>
      <c r="C950" s="16" t="n"/>
      <c r="D950" s="16" t="n"/>
      <c r="E950" s="16" t="n"/>
      <c r="F950" s="34" t="n"/>
      <c r="G950" s="18" t="n"/>
      <c r="H950" s="35">
        <f>IF($F950="","",$F950*$G950/100)</f>
        <v/>
      </c>
      <c r="I950" s="18" t="n"/>
      <c r="J950" s="35">
        <f>IF($F950="","",$H950*$I950/100)</f>
        <v/>
      </c>
      <c r="K950" s="18" t="n"/>
      <c r="L950" s="35">
        <f>IF($F950="","",$F950*$K950/100)</f>
        <v/>
      </c>
      <c r="M950" s="20">
        <f>IF($A950="","",ROUNDUP(MONTH($A950)/3,0))</f>
        <v/>
      </c>
    </row>
    <row r="951">
      <c r="A951" s="33" t="n"/>
      <c r="B951" s="16" t="n"/>
      <c r="C951" s="16" t="n"/>
      <c r="D951" s="16" t="n"/>
      <c r="E951" s="16" t="n"/>
      <c r="F951" s="34" t="n"/>
      <c r="G951" s="18" t="n"/>
      <c r="H951" s="35">
        <f>IF($F951="","",$F951*$G951/100)</f>
        <v/>
      </c>
      <c r="I951" s="18" t="n"/>
      <c r="J951" s="35">
        <f>IF($F951="","",$H951*$I951/100)</f>
        <v/>
      </c>
      <c r="K951" s="18" t="n"/>
      <c r="L951" s="35">
        <f>IF($F951="","",$F951*$K951/100)</f>
        <v/>
      </c>
      <c r="M951" s="20">
        <f>IF($A951="","",ROUNDUP(MONTH($A951)/3,0))</f>
        <v/>
      </c>
    </row>
    <row r="952">
      <c r="A952" s="33" t="n"/>
      <c r="B952" s="16" t="n"/>
      <c r="C952" s="16" t="n"/>
      <c r="D952" s="16" t="n"/>
      <c r="E952" s="16" t="n"/>
      <c r="F952" s="34" t="n"/>
      <c r="G952" s="18" t="n"/>
      <c r="H952" s="35">
        <f>IF($F952="","",$F952*$G952/100)</f>
        <v/>
      </c>
      <c r="I952" s="18" t="n"/>
      <c r="J952" s="35">
        <f>IF($F952="","",$H952*$I952/100)</f>
        <v/>
      </c>
      <c r="K952" s="18" t="n"/>
      <c r="L952" s="35">
        <f>IF($F952="","",$F952*$K952/100)</f>
        <v/>
      </c>
      <c r="M952" s="20">
        <f>IF($A952="","",ROUNDUP(MONTH($A952)/3,0))</f>
        <v/>
      </c>
    </row>
    <row r="953">
      <c r="A953" s="33" t="n"/>
      <c r="B953" s="16" t="n"/>
      <c r="C953" s="16" t="n"/>
      <c r="D953" s="16" t="n"/>
      <c r="E953" s="16" t="n"/>
      <c r="F953" s="34" t="n"/>
      <c r="G953" s="18" t="n"/>
      <c r="H953" s="35">
        <f>IF($F953="","",$F953*$G953/100)</f>
        <v/>
      </c>
      <c r="I953" s="18" t="n"/>
      <c r="J953" s="35">
        <f>IF($F953="","",$H953*$I953/100)</f>
        <v/>
      </c>
      <c r="K953" s="18" t="n"/>
      <c r="L953" s="35">
        <f>IF($F953="","",$F953*$K953/100)</f>
        <v/>
      </c>
      <c r="M953" s="20">
        <f>IF($A953="","",ROUNDUP(MONTH($A953)/3,0))</f>
        <v/>
      </c>
    </row>
    <row r="954">
      <c r="A954" s="33" t="n"/>
      <c r="B954" s="16" t="n"/>
      <c r="C954" s="16" t="n"/>
      <c r="D954" s="16" t="n"/>
      <c r="E954" s="16" t="n"/>
      <c r="F954" s="34" t="n"/>
      <c r="G954" s="18" t="n"/>
      <c r="H954" s="35">
        <f>IF($F954="","",$F954*$G954/100)</f>
        <v/>
      </c>
      <c r="I954" s="18" t="n"/>
      <c r="J954" s="35">
        <f>IF($F954="","",$H954*$I954/100)</f>
        <v/>
      </c>
      <c r="K954" s="18" t="n"/>
      <c r="L954" s="35">
        <f>IF($F954="","",$F954*$K954/100)</f>
        <v/>
      </c>
      <c r="M954" s="20">
        <f>IF($A954="","",ROUNDUP(MONTH($A954)/3,0))</f>
        <v/>
      </c>
    </row>
    <row r="955">
      <c r="A955" s="33" t="n"/>
      <c r="B955" s="16" t="n"/>
      <c r="C955" s="16" t="n"/>
      <c r="D955" s="16" t="n"/>
      <c r="E955" s="16" t="n"/>
      <c r="F955" s="34" t="n"/>
      <c r="G955" s="18" t="n"/>
      <c r="H955" s="35">
        <f>IF($F955="","",$F955*$G955/100)</f>
        <v/>
      </c>
      <c r="I955" s="18" t="n"/>
      <c r="J955" s="35">
        <f>IF($F955="","",$H955*$I955/100)</f>
        <v/>
      </c>
      <c r="K955" s="18" t="n"/>
      <c r="L955" s="35">
        <f>IF($F955="","",$F955*$K955/100)</f>
        <v/>
      </c>
      <c r="M955" s="20">
        <f>IF($A955="","",ROUNDUP(MONTH($A955)/3,0))</f>
        <v/>
      </c>
    </row>
    <row r="956">
      <c r="A956" s="33" t="n"/>
      <c r="B956" s="16" t="n"/>
      <c r="C956" s="16" t="n"/>
      <c r="D956" s="16" t="n"/>
      <c r="E956" s="16" t="n"/>
      <c r="F956" s="34" t="n"/>
      <c r="G956" s="18" t="n"/>
      <c r="H956" s="35">
        <f>IF($F956="","",$F956*$G956/100)</f>
        <v/>
      </c>
      <c r="I956" s="18" t="n"/>
      <c r="J956" s="35">
        <f>IF($F956="","",$H956*$I956/100)</f>
        <v/>
      </c>
      <c r="K956" s="18" t="n"/>
      <c r="L956" s="35">
        <f>IF($F956="","",$F956*$K956/100)</f>
        <v/>
      </c>
      <c r="M956" s="20">
        <f>IF($A956="","",ROUNDUP(MONTH($A956)/3,0))</f>
        <v/>
      </c>
    </row>
    <row r="957">
      <c r="A957" s="33" t="n"/>
      <c r="B957" s="16" t="n"/>
      <c r="C957" s="16" t="n"/>
      <c r="D957" s="16" t="n"/>
      <c r="E957" s="16" t="n"/>
      <c r="F957" s="34" t="n"/>
      <c r="G957" s="18" t="n"/>
      <c r="H957" s="35">
        <f>IF($F957="","",$F957*$G957/100)</f>
        <v/>
      </c>
      <c r="I957" s="18" t="n"/>
      <c r="J957" s="35">
        <f>IF($F957="","",$H957*$I957/100)</f>
        <v/>
      </c>
      <c r="K957" s="18" t="n"/>
      <c r="L957" s="35">
        <f>IF($F957="","",$F957*$K957/100)</f>
        <v/>
      </c>
      <c r="M957" s="20">
        <f>IF($A957="","",ROUNDUP(MONTH($A957)/3,0))</f>
        <v/>
      </c>
    </row>
    <row r="958">
      <c r="A958" s="33" t="n"/>
      <c r="B958" s="16" t="n"/>
      <c r="C958" s="16" t="n"/>
      <c r="D958" s="16" t="n"/>
      <c r="E958" s="16" t="n"/>
      <c r="F958" s="34" t="n"/>
      <c r="G958" s="18" t="n"/>
      <c r="H958" s="35">
        <f>IF($F958="","",$F958*$G958/100)</f>
        <v/>
      </c>
      <c r="I958" s="18" t="n"/>
      <c r="J958" s="35">
        <f>IF($F958="","",$H958*$I958/100)</f>
        <v/>
      </c>
      <c r="K958" s="18" t="n"/>
      <c r="L958" s="35">
        <f>IF($F958="","",$F958*$K958/100)</f>
        <v/>
      </c>
      <c r="M958" s="20">
        <f>IF($A958="","",ROUNDUP(MONTH($A958)/3,0))</f>
        <v/>
      </c>
    </row>
    <row r="959">
      <c r="A959" s="33" t="n"/>
      <c r="B959" s="16" t="n"/>
      <c r="C959" s="16" t="n"/>
      <c r="D959" s="16" t="n"/>
      <c r="E959" s="16" t="n"/>
      <c r="F959" s="34" t="n"/>
      <c r="G959" s="18" t="n"/>
      <c r="H959" s="35">
        <f>IF($F959="","",$F959*$G959/100)</f>
        <v/>
      </c>
      <c r="I959" s="18" t="n"/>
      <c r="J959" s="35">
        <f>IF($F959="","",$H959*$I959/100)</f>
        <v/>
      </c>
      <c r="K959" s="18" t="n"/>
      <c r="L959" s="35">
        <f>IF($F959="","",$F959*$K959/100)</f>
        <v/>
      </c>
      <c r="M959" s="20">
        <f>IF($A959="","",ROUNDUP(MONTH($A959)/3,0))</f>
        <v/>
      </c>
    </row>
    <row r="960">
      <c r="A960" s="33" t="n"/>
      <c r="B960" s="16" t="n"/>
      <c r="C960" s="16" t="n"/>
      <c r="D960" s="16" t="n"/>
      <c r="E960" s="16" t="n"/>
      <c r="F960" s="34" t="n"/>
      <c r="G960" s="18" t="n"/>
      <c r="H960" s="35">
        <f>IF($F960="","",$F960*$G960/100)</f>
        <v/>
      </c>
      <c r="I960" s="18" t="n"/>
      <c r="J960" s="35">
        <f>IF($F960="","",$H960*$I960/100)</f>
        <v/>
      </c>
      <c r="K960" s="18" t="n"/>
      <c r="L960" s="35">
        <f>IF($F960="","",$F960*$K960/100)</f>
        <v/>
      </c>
      <c r="M960" s="20">
        <f>IF($A960="","",ROUNDUP(MONTH($A960)/3,0))</f>
        <v/>
      </c>
    </row>
    <row r="961">
      <c r="A961" s="33" t="n"/>
      <c r="B961" s="16" t="n"/>
      <c r="C961" s="16" t="n"/>
      <c r="D961" s="16" t="n"/>
      <c r="E961" s="16" t="n"/>
      <c r="F961" s="34" t="n"/>
      <c r="G961" s="18" t="n"/>
      <c r="H961" s="35">
        <f>IF($F961="","",$F961*$G961/100)</f>
        <v/>
      </c>
      <c r="I961" s="18" t="n"/>
      <c r="J961" s="35">
        <f>IF($F961="","",$H961*$I961/100)</f>
        <v/>
      </c>
      <c r="K961" s="18" t="n"/>
      <c r="L961" s="35">
        <f>IF($F961="","",$F961*$K961/100)</f>
        <v/>
      </c>
      <c r="M961" s="20">
        <f>IF($A961="","",ROUNDUP(MONTH($A961)/3,0))</f>
        <v/>
      </c>
    </row>
    <row r="962">
      <c r="A962" s="33" t="n"/>
      <c r="B962" s="16" t="n"/>
      <c r="C962" s="16" t="n"/>
      <c r="D962" s="16" t="n"/>
      <c r="E962" s="16" t="n"/>
      <c r="F962" s="34" t="n"/>
      <c r="G962" s="18" t="n"/>
      <c r="H962" s="35">
        <f>IF($F962="","",$F962*$G962/100)</f>
        <v/>
      </c>
      <c r="I962" s="18" t="n"/>
      <c r="J962" s="35">
        <f>IF($F962="","",$H962*$I962/100)</f>
        <v/>
      </c>
      <c r="K962" s="18" t="n"/>
      <c r="L962" s="35">
        <f>IF($F962="","",$F962*$K962/100)</f>
        <v/>
      </c>
      <c r="M962" s="20">
        <f>IF($A962="","",ROUNDUP(MONTH($A962)/3,0))</f>
        <v/>
      </c>
    </row>
    <row r="963">
      <c r="A963" s="33" t="n"/>
      <c r="B963" s="16" t="n"/>
      <c r="C963" s="16" t="n"/>
      <c r="D963" s="16" t="n"/>
      <c r="E963" s="16" t="n"/>
      <c r="F963" s="34" t="n"/>
      <c r="G963" s="18" t="n"/>
      <c r="H963" s="35">
        <f>IF($F963="","",$F963*$G963/100)</f>
        <v/>
      </c>
      <c r="I963" s="18" t="n"/>
      <c r="J963" s="35">
        <f>IF($F963="","",$H963*$I963/100)</f>
        <v/>
      </c>
      <c r="K963" s="18" t="n"/>
      <c r="L963" s="35">
        <f>IF($F963="","",$F963*$K963/100)</f>
        <v/>
      </c>
      <c r="M963" s="20">
        <f>IF($A963="","",ROUNDUP(MONTH($A963)/3,0))</f>
        <v/>
      </c>
    </row>
    <row r="964">
      <c r="A964" s="33" t="n"/>
      <c r="B964" s="16" t="n"/>
      <c r="C964" s="16" t="n"/>
      <c r="D964" s="16" t="n"/>
      <c r="E964" s="16" t="n"/>
      <c r="F964" s="34" t="n"/>
      <c r="G964" s="18" t="n"/>
      <c r="H964" s="35">
        <f>IF($F964="","",$F964*$G964/100)</f>
        <v/>
      </c>
      <c r="I964" s="18" t="n"/>
      <c r="J964" s="35">
        <f>IF($F964="","",$H964*$I964/100)</f>
        <v/>
      </c>
      <c r="K964" s="18" t="n"/>
      <c r="L964" s="35">
        <f>IF($F964="","",$F964*$K964/100)</f>
        <v/>
      </c>
      <c r="M964" s="20">
        <f>IF($A964="","",ROUNDUP(MONTH($A964)/3,0))</f>
        <v/>
      </c>
    </row>
    <row r="965">
      <c r="A965" s="33" t="n"/>
      <c r="B965" s="16" t="n"/>
      <c r="C965" s="16" t="n"/>
      <c r="D965" s="16" t="n"/>
      <c r="E965" s="16" t="n"/>
      <c r="F965" s="34" t="n"/>
      <c r="G965" s="18" t="n"/>
      <c r="H965" s="35">
        <f>IF($F965="","",$F965*$G965/100)</f>
        <v/>
      </c>
      <c r="I965" s="18" t="n"/>
      <c r="J965" s="35">
        <f>IF($F965="","",$H965*$I965/100)</f>
        <v/>
      </c>
      <c r="K965" s="18" t="n"/>
      <c r="L965" s="35">
        <f>IF($F965="","",$F965*$K965/100)</f>
        <v/>
      </c>
      <c r="M965" s="20">
        <f>IF($A965="","",ROUNDUP(MONTH($A965)/3,0))</f>
        <v/>
      </c>
    </row>
    <row r="966">
      <c r="A966" s="33" t="n"/>
      <c r="B966" s="16" t="n"/>
      <c r="C966" s="16" t="n"/>
      <c r="D966" s="16" t="n"/>
      <c r="E966" s="16" t="n"/>
      <c r="F966" s="34" t="n"/>
      <c r="G966" s="18" t="n"/>
      <c r="H966" s="35">
        <f>IF($F966="","",$F966*$G966/100)</f>
        <v/>
      </c>
      <c r="I966" s="18" t="n"/>
      <c r="J966" s="35">
        <f>IF($F966="","",$H966*$I966/100)</f>
        <v/>
      </c>
      <c r="K966" s="18" t="n"/>
      <c r="L966" s="35">
        <f>IF($F966="","",$F966*$K966/100)</f>
        <v/>
      </c>
      <c r="M966" s="20">
        <f>IF($A966="","",ROUNDUP(MONTH($A966)/3,0))</f>
        <v/>
      </c>
    </row>
    <row r="967">
      <c r="A967" s="33" t="n"/>
      <c r="B967" s="16" t="n"/>
      <c r="C967" s="16" t="n"/>
      <c r="D967" s="16" t="n"/>
      <c r="E967" s="16" t="n"/>
      <c r="F967" s="34" t="n"/>
      <c r="G967" s="18" t="n"/>
      <c r="H967" s="35">
        <f>IF($F967="","",$F967*$G967/100)</f>
        <v/>
      </c>
      <c r="I967" s="18" t="n"/>
      <c r="J967" s="35">
        <f>IF($F967="","",$H967*$I967/100)</f>
        <v/>
      </c>
      <c r="K967" s="18" t="n"/>
      <c r="L967" s="35">
        <f>IF($F967="","",$F967*$K967/100)</f>
        <v/>
      </c>
      <c r="M967" s="20">
        <f>IF($A967="","",ROUNDUP(MONTH($A967)/3,0))</f>
        <v/>
      </c>
    </row>
    <row r="968">
      <c r="A968" s="33" t="n"/>
      <c r="B968" s="16" t="n"/>
      <c r="C968" s="16" t="n"/>
      <c r="D968" s="16" t="n"/>
      <c r="E968" s="16" t="n"/>
      <c r="F968" s="34" t="n"/>
      <c r="G968" s="18" t="n"/>
      <c r="H968" s="35">
        <f>IF($F968="","",$F968*$G968/100)</f>
        <v/>
      </c>
      <c r="I968" s="18" t="n"/>
      <c r="J968" s="35">
        <f>IF($F968="","",$H968*$I968/100)</f>
        <v/>
      </c>
      <c r="K968" s="18" t="n"/>
      <c r="L968" s="35">
        <f>IF($F968="","",$F968*$K968/100)</f>
        <v/>
      </c>
      <c r="M968" s="20">
        <f>IF($A968="","",ROUNDUP(MONTH($A968)/3,0))</f>
        <v/>
      </c>
    </row>
    <row r="969">
      <c r="A969" s="33" t="n"/>
      <c r="B969" s="16" t="n"/>
      <c r="C969" s="16" t="n"/>
      <c r="D969" s="16" t="n"/>
      <c r="E969" s="16" t="n"/>
      <c r="F969" s="34" t="n"/>
      <c r="G969" s="18" t="n"/>
      <c r="H969" s="35">
        <f>IF($F969="","",$F969*$G969/100)</f>
        <v/>
      </c>
      <c r="I969" s="18" t="n"/>
      <c r="J969" s="35">
        <f>IF($F969="","",$H969*$I969/100)</f>
        <v/>
      </c>
      <c r="K969" s="18" t="n"/>
      <c r="L969" s="35">
        <f>IF($F969="","",$F969*$K969/100)</f>
        <v/>
      </c>
      <c r="M969" s="20">
        <f>IF($A969="","",ROUNDUP(MONTH($A969)/3,0))</f>
        <v/>
      </c>
    </row>
    <row r="970">
      <c r="A970" s="33" t="n"/>
      <c r="B970" s="16" t="n"/>
      <c r="C970" s="16" t="n"/>
      <c r="D970" s="16" t="n"/>
      <c r="E970" s="16" t="n"/>
      <c r="F970" s="34" t="n"/>
      <c r="G970" s="18" t="n"/>
      <c r="H970" s="35">
        <f>IF($F970="","",$F970*$G970/100)</f>
        <v/>
      </c>
      <c r="I970" s="18" t="n"/>
      <c r="J970" s="35">
        <f>IF($F970="","",$H970*$I970/100)</f>
        <v/>
      </c>
      <c r="K970" s="18" t="n"/>
      <c r="L970" s="35">
        <f>IF($F970="","",$F970*$K970/100)</f>
        <v/>
      </c>
      <c r="M970" s="20">
        <f>IF($A970="","",ROUNDUP(MONTH($A970)/3,0))</f>
        <v/>
      </c>
    </row>
    <row r="971">
      <c r="A971" s="33" t="n"/>
      <c r="B971" s="16" t="n"/>
      <c r="C971" s="16" t="n"/>
      <c r="D971" s="16" t="n"/>
      <c r="E971" s="16" t="n"/>
      <c r="F971" s="34" t="n"/>
      <c r="G971" s="18" t="n"/>
      <c r="H971" s="35">
        <f>IF($F971="","",$F971*$G971/100)</f>
        <v/>
      </c>
      <c r="I971" s="18" t="n"/>
      <c r="J971" s="35">
        <f>IF($F971="","",$H971*$I971/100)</f>
        <v/>
      </c>
      <c r="K971" s="18" t="n"/>
      <c r="L971" s="35">
        <f>IF($F971="","",$F971*$K971/100)</f>
        <v/>
      </c>
      <c r="M971" s="20">
        <f>IF($A971="","",ROUNDUP(MONTH($A971)/3,0))</f>
        <v/>
      </c>
    </row>
    <row r="972">
      <c r="A972" s="33" t="n"/>
      <c r="B972" s="16" t="n"/>
      <c r="C972" s="16" t="n"/>
      <c r="D972" s="16" t="n"/>
      <c r="E972" s="16" t="n"/>
      <c r="F972" s="34" t="n"/>
      <c r="G972" s="18" t="n"/>
      <c r="H972" s="35">
        <f>IF($F972="","",$F972*$G972/100)</f>
        <v/>
      </c>
      <c r="I972" s="18" t="n"/>
      <c r="J972" s="35">
        <f>IF($F972="","",$H972*$I972/100)</f>
        <v/>
      </c>
      <c r="K972" s="18" t="n"/>
      <c r="L972" s="35">
        <f>IF($F972="","",$F972*$K972/100)</f>
        <v/>
      </c>
      <c r="M972" s="20">
        <f>IF($A972="","",ROUNDUP(MONTH($A972)/3,0))</f>
        <v/>
      </c>
    </row>
    <row r="973">
      <c r="A973" s="33" t="n"/>
      <c r="B973" s="16" t="n"/>
      <c r="C973" s="16" t="n"/>
      <c r="D973" s="16" t="n"/>
      <c r="E973" s="16" t="n"/>
      <c r="F973" s="34" t="n"/>
      <c r="G973" s="18" t="n"/>
      <c r="H973" s="35">
        <f>IF($F973="","",$F973*$G973/100)</f>
        <v/>
      </c>
      <c r="I973" s="18" t="n"/>
      <c r="J973" s="35">
        <f>IF($F973="","",$H973*$I973/100)</f>
        <v/>
      </c>
      <c r="K973" s="18" t="n"/>
      <c r="L973" s="35">
        <f>IF($F973="","",$F973*$K973/100)</f>
        <v/>
      </c>
      <c r="M973" s="20">
        <f>IF($A973="","",ROUNDUP(MONTH($A973)/3,0))</f>
        <v/>
      </c>
    </row>
    <row r="974">
      <c r="A974" s="33" t="n"/>
      <c r="B974" s="16" t="n"/>
      <c r="C974" s="16" t="n"/>
      <c r="D974" s="16" t="n"/>
      <c r="E974" s="16" t="n"/>
      <c r="F974" s="34" t="n"/>
      <c r="G974" s="18" t="n"/>
      <c r="H974" s="35">
        <f>IF($F974="","",$F974*$G974/100)</f>
        <v/>
      </c>
      <c r="I974" s="18" t="n"/>
      <c r="J974" s="35">
        <f>IF($F974="","",$H974*$I974/100)</f>
        <v/>
      </c>
      <c r="K974" s="18" t="n"/>
      <c r="L974" s="35">
        <f>IF($F974="","",$F974*$K974/100)</f>
        <v/>
      </c>
      <c r="M974" s="20">
        <f>IF($A974="","",ROUNDUP(MONTH($A974)/3,0))</f>
        <v/>
      </c>
    </row>
    <row r="975">
      <c r="A975" s="33" t="n"/>
      <c r="B975" s="16" t="n"/>
      <c r="C975" s="16" t="n"/>
      <c r="D975" s="16" t="n"/>
      <c r="E975" s="16" t="n"/>
      <c r="F975" s="34" t="n"/>
      <c r="G975" s="18" t="n"/>
      <c r="H975" s="35">
        <f>IF($F975="","",$F975*$G975/100)</f>
        <v/>
      </c>
      <c r="I975" s="18" t="n"/>
      <c r="J975" s="35">
        <f>IF($F975="","",$H975*$I975/100)</f>
        <v/>
      </c>
      <c r="K975" s="18" t="n"/>
      <c r="L975" s="35">
        <f>IF($F975="","",$F975*$K975/100)</f>
        <v/>
      </c>
      <c r="M975" s="20">
        <f>IF($A975="","",ROUNDUP(MONTH($A975)/3,0))</f>
        <v/>
      </c>
    </row>
    <row r="976">
      <c r="A976" s="33" t="n"/>
      <c r="B976" s="16" t="n"/>
      <c r="C976" s="16" t="n"/>
      <c r="D976" s="16" t="n"/>
      <c r="E976" s="16" t="n"/>
      <c r="F976" s="34" t="n"/>
      <c r="G976" s="18" t="n"/>
      <c r="H976" s="35">
        <f>IF($F976="","",$F976*$G976/100)</f>
        <v/>
      </c>
      <c r="I976" s="18" t="n"/>
      <c r="J976" s="35">
        <f>IF($F976="","",$H976*$I976/100)</f>
        <v/>
      </c>
      <c r="K976" s="18" t="n"/>
      <c r="L976" s="35">
        <f>IF($F976="","",$F976*$K976/100)</f>
        <v/>
      </c>
      <c r="M976" s="20">
        <f>IF($A976="","",ROUNDUP(MONTH($A976)/3,0))</f>
        <v/>
      </c>
    </row>
    <row r="977">
      <c r="A977" s="33" t="n"/>
      <c r="B977" s="16" t="n"/>
      <c r="C977" s="16" t="n"/>
      <c r="D977" s="16" t="n"/>
      <c r="E977" s="16" t="n"/>
      <c r="F977" s="34" t="n"/>
      <c r="G977" s="18" t="n"/>
      <c r="H977" s="35">
        <f>IF($F977="","",$F977*$G977/100)</f>
        <v/>
      </c>
      <c r="I977" s="18" t="n"/>
      <c r="J977" s="35">
        <f>IF($F977="","",$H977*$I977/100)</f>
        <v/>
      </c>
      <c r="K977" s="18" t="n"/>
      <c r="L977" s="35">
        <f>IF($F977="","",$F977*$K977/100)</f>
        <v/>
      </c>
      <c r="M977" s="20">
        <f>IF($A977="","",ROUNDUP(MONTH($A977)/3,0))</f>
        <v/>
      </c>
    </row>
    <row r="978">
      <c r="A978" s="33" t="n"/>
      <c r="B978" s="16" t="n"/>
      <c r="C978" s="16" t="n"/>
      <c r="D978" s="16" t="n"/>
      <c r="E978" s="16" t="n"/>
      <c r="F978" s="34" t="n"/>
      <c r="G978" s="18" t="n"/>
      <c r="H978" s="35">
        <f>IF($F978="","",$F978*$G978/100)</f>
        <v/>
      </c>
      <c r="I978" s="18" t="n"/>
      <c r="J978" s="35">
        <f>IF($F978="","",$H978*$I978/100)</f>
        <v/>
      </c>
      <c r="K978" s="18" t="n"/>
      <c r="L978" s="35">
        <f>IF($F978="","",$F978*$K978/100)</f>
        <v/>
      </c>
      <c r="M978" s="20">
        <f>IF($A978="","",ROUNDUP(MONTH($A978)/3,0))</f>
        <v/>
      </c>
    </row>
    <row r="979">
      <c r="A979" s="33" t="n"/>
      <c r="B979" s="16" t="n"/>
      <c r="C979" s="16" t="n"/>
      <c r="D979" s="16" t="n"/>
      <c r="E979" s="16" t="n"/>
      <c r="F979" s="34" t="n"/>
      <c r="G979" s="18" t="n"/>
      <c r="H979" s="35">
        <f>IF($F979="","",$F979*$G979/100)</f>
        <v/>
      </c>
      <c r="I979" s="18" t="n"/>
      <c r="J979" s="35">
        <f>IF($F979="","",$H979*$I979/100)</f>
        <v/>
      </c>
      <c r="K979" s="18" t="n"/>
      <c r="L979" s="35">
        <f>IF($F979="","",$F979*$K979/100)</f>
        <v/>
      </c>
      <c r="M979" s="20">
        <f>IF($A979="","",ROUNDUP(MONTH($A979)/3,0))</f>
        <v/>
      </c>
    </row>
    <row r="980">
      <c r="A980" s="33" t="n"/>
      <c r="B980" s="16" t="n"/>
      <c r="C980" s="16" t="n"/>
      <c r="D980" s="16" t="n"/>
      <c r="E980" s="16" t="n"/>
      <c r="F980" s="34" t="n"/>
      <c r="G980" s="18" t="n"/>
      <c r="H980" s="35">
        <f>IF($F980="","",$F980*$G980/100)</f>
        <v/>
      </c>
      <c r="I980" s="18" t="n"/>
      <c r="J980" s="35">
        <f>IF($F980="","",$H980*$I980/100)</f>
        <v/>
      </c>
      <c r="K980" s="18" t="n"/>
      <c r="L980" s="35">
        <f>IF($F980="","",$F980*$K980/100)</f>
        <v/>
      </c>
      <c r="M980" s="20">
        <f>IF($A980="","",ROUNDUP(MONTH($A980)/3,0))</f>
        <v/>
      </c>
    </row>
    <row r="981">
      <c r="A981" s="33" t="n"/>
      <c r="B981" s="16" t="n"/>
      <c r="C981" s="16" t="n"/>
      <c r="D981" s="16" t="n"/>
      <c r="E981" s="16" t="n"/>
      <c r="F981" s="34" t="n"/>
      <c r="G981" s="18" t="n"/>
      <c r="H981" s="35">
        <f>IF($F981="","",$F981*$G981/100)</f>
        <v/>
      </c>
      <c r="I981" s="18" t="n"/>
      <c r="J981" s="35">
        <f>IF($F981="","",$H981*$I981/100)</f>
        <v/>
      </c>
      <c r="K981" s="18" t="n"/>
      <c r="L981" s="35">
        <f>IF($F981="","",$F981*$K981/100)</f>
        <v/>
      </c>
      <c r="M981" s="20">
        <f>IF($A981="","",ROUNDUP(MONTH($A981)/3,0))</f>
        <v/>
      </c>
    </row>
    <row r="982">
      <c r="A982" s="33" t="n"/>
      <c r="B982" s="16" t="n"/>
      <c r="C982" s="16" t="n"/>
      <c r="D982" s="16" t="n"/>
      <c r="E982" s="16" t="n"/>
      <c r="F982" s="34" t="n"/>
      <c r="G982" s="18" t="n"/>
      <c r="H982" s="35">
        <f>IF($F982="","",$F982*$G982/100)</f>
        <v/>
      </c>
      <c r="I982" s="18" t="n"/>
      <c r="J982" s="35">
        <f>IF($F982="","",$H982*$I982/100)</f>
        <v/>
      </c>
      <c r="K982" s="18" t="n"/>
      <c r="L982" s="35">
        <f>IF($F982="","",$F982*$K982/100)</f>
        <v/>
      </c>
      <c r="M982" s="20">
        <f>IF($A982="","",ROUNDUP(MONTH($A982)/3,0))</f>
        <v/>
      </c>
    </row>
    <row r="983">
      <c r="A983" s="33" t="n"/>
      <c r="B983" s="16" t="n"/>
      <c r="C983" s="16" t="n"/>
      <c r="D983" s="16" t="n"/>
      <c r="E983" s="16" t="n"/>
      <c r="F983" s="34" t="n"/>
      <c r="G983" s="18" t="n"/>
      <c r="H983" s="35">
        <f>IF($F983="","",$F983*$G983/100)</f>
        <v/>
      </c>
      <c r="I983" s="18" t="n"/>
      <c r="J983" s="35">
        <f>IF($F983="","",$H983*$I983/100)</f>
        <v/>
      </c>
      <c r="K983" s="18" t="n"/>
      <c r="L983" s="35">
        <f>IF($F983="","",$F983*$K983/100)</f>
        <v/>
      </c>
      <c r="M983" s="20">
        <f>IF($A983="","",ROUNDUP(MONTH($A983)/3,0))</f>
        <v/>
      </c>
    </row>
    <row r="984">
      <c r="A984" s="33" t="n"/>
      <c r="B984" s="16" t="n"/>
      <c r="C984" s="16" t="n"/>
      <c r="D984" s="16" t="n"/>
      <c r="E984" s="16" t="n"/>
      <c r="F984" s="34" t="n"/>
      <c r="G984" s="18" t="n"/>
      <c r="H984" s="35">
        <f>IF($F984="","",$F984*$G984/100)</f>
        <v/>
      </c>
      <c r="I984" s="18" t="n"/>
      <c r="J984" s="35">
        <f>IF($F984="","",$H984*$I984/100)</f>
        <v/>
      </c>
      <c r="K984" s="18" t="n"/>
      <c r="L984" s="35">
        <f>IF($F984="","",$F984*$K984/100)</f>
        <v/>
      </c>
      <c r="M984" s="20">
        <f>IF($A984="","",ROUNDUP(MONTH($A984)/3,0))</f>
        <v/>
      </c>
    </row>
    <row r="985">
      <c r="A985" s="33" t="n"/>
      <c r="B985" s="16" t="n"/>
      <c r="C985" s="16" t="n"/>
      <c r="D985" s="16" t="n"/>
      <c r="E985" s="16" t="n"/>
      <c r="F985" s="34" t="n"/>
      <c r="G985" s="18" t="n"/>
      <c r="H985" s="35">
        <f>IF($F985="","",$F985*$G985/100)</f>
        <v/>
      </c>
      <c r="I985" s="18" t="n"/>
      <c r="J985" s="35">
        <f>IF($F985="","",$H985*$I985/100)</f>
        <v/>
      </c>
      <c r="K985" s="18" t="n"/>
      <c r="L985" s="35">
        <f>IF($F985="","",$F985*$K985/100)</f>
        <v/>
      </c>
      <c r="M985" s="20">
        <f>IF($A985="","",ROUNDUP(MONTH($A985)/3,0))</f>
        <v/>
      </c>
    </row>
    <row r="986">
      <c r="A986" s="33" t="n"/>
      <c r="B986" s="16" t="n"/>
      <c r="C986" s="16" t="n"/>
      <c r="D986" s="16" t="n"/>
      <c r="E986" s="16" t="n"/>
      <c r="F986" s="34" t="n"/>
      <c r="G986" s="18" t="n"/>
      <c r="H986" s="35">
        <f>IF($F986="","",$F986*$G986/100)</f>
        <v/>
      </c>
      <c r="I986" s="18" t="n"/>
      <c r="J986" s="35">
        <f>IF($F986="","",$H986*$I986/100)</f>
        <v/>
      </c>
      <c r="K986" s="18" t="n"/>
      <c r="L986" s="35">
        <f>IF($F986="","",$F986*$K986/100)</f>
        <v/>
      </c>
      <c r="M986" s="20">
        <f>IF($A986="","",ROUNDUP(MONTH($A986)/3,0))</f>
        <v/>
      </c>
    </row>
    <row r="987">
      <c r="A987" s="33" t="n"/>
      <c r="B987" s="16" t="n"/>
      <c r="C987" s="16" t="n"/>
      <c r="D987" s="16" t="n"/>
      <c r="E987" s="16" t="n"/>
      <c r="F987" s="34" t="n"/>
      <c r="G987" s="18" t="n"/>
      <c r="H987" s="35">
        <f>IF($F987="","",$F987*$G987/100)</f>
        <v/>
      </c>
      <c r="I987" s="18" t="n"/>
      <c r="J987" s="35">
        <f>IF($F987="","",$H987*$I987/100)</f>
        <v/>
      </c>
      <c r="K987" s="18" t="n"/>
      <c r="L987" s="35">
        <f>IF($F987="","",$F987*$K987/100)</f>
        <v/>
      </c>
      <c r="M987" s="20">
        <f>IF($A987="","",ROUNDUP(MONTH($A987)/3,0))</f>
        <v/>
      </c>
    </row>
    <row r="988">
      <c r="A988" s="33" t="n"/>
      <c r="B988" s="16" t="n"/>
      <c r="C988" s="16" t="n"/>
      <c r="D988" s="16" t="n"/>
      <c r="E988" s="16" t="n"/>
      <c r="F988" s="34" t="n"/>
      <c r="G988" s="18" t="n"/>
      <c r="H988" s="35">
        <f>IF($F988="","",$F988*$G988/100)</f>
        <v/>
      </c>
      <c r="I988" s="18" t="n"/>
      <c r="J988" s="35">
        <f>IF($F988="","",$H988*$I988/100)</f>
        <v/>
      </c>
      <c r="K988" s="18" t="n"/>
      <c r="L988" s="35">
        <f>IF($F988="","",$F988*$K988/100)</f>
        <v/>
      </c>
      <c r="M988" s="20">
        <f>IF($A988="","",ROUNDUP(MONTH($A988)/3,0))</f>
        <v/>
      </c>
    </row>
    <row r="989">
      <c r="A989" s="33" t="n"/>
      <c r="B989" s="16" t="n"/>
      <c r="C989" s="16" t="n"/>
      <c r="D989" s="16" t="n"/>
      <c r="E989" s="16" t="n"/>
      <c r="F989" s="34" t="n"/>
      <c r="G989" s="18" t="n"/>
      <c r="H989" s="35">
        <f>IF($F989="","",$F989*$G989/100)</f>
        <v/>
      </c>
      <c r="I989" s="18" t="n"/>
      <c r="J989" s="35">
        <f>IF($F989="","",$H989*$I989/100)</f>
        <v/>
      </c>
      <c r="K989" s="18" t="n"/>
      <c r="L989" s="35">
        <f>IF($F989="","",$F989*$K989/100)</f>
        <v/>
      </c>
      <c r="M989" s="20">
        <f>IF($A989="","",ROUNDUP(MONTH($A989)/3,0))</f>
        <v/>
      </c>
    </row>
    <row r="990">
      <c r="A990" s="33" t="n"/>
      <c r="B990" s="16" t="n"/>
      <c r="C990" s="16" t="n"/>
      <c r="D990" s="16" t="n"/>
      <c r="E990" s="16" t="n"/>
      <c r="F990" s="34" t="n"/>
      <c r="G990" s="18" t="n"/>
      <c r="H990" s="35">
        <f>IF($F990="","",$F990*$G990/100)</f>
        <v/>
      </c>
      <c r="I990" s="18" t="n"/>
      <c r="J990" s="35">
        <f>IF($F990="","",$H990*$I990/100)</f>
        <v/>
      </c>
      <c r="K990" s="18" t="n"/>
      <c r="L990" s="35">
        <f>IF($F990="","",$F990*$K990/100)</f>
        <v/>
      </c>
      <c r="M990" s="20">
        <f>IF($A990="","",ROUNDUP(MONTH($A990)/3,0))</f>
        <v/>
      </c>
    </row>
    <row r="991">
      <c r="A991" s="33" t="n"/>
      <c r="B991" s="16" t="n"/>
      <c r="C991" s="16" t="n"/>
      <c r="D991" s="16" t="n"/>
      <c r="E991" s="16" t="n"/>
      <c r="F991" s="34" t="n"/>
      <c r="G991" s="18" t="n"/>
      <c r="H991" s="35">
        <f>IF($F991="","",$F991*$G991/100)</f>
        <v/>
      </c>
      <c r="I991" s="18" t="n"/>
      <c r="J991" s="35">
        <f>IF($F991="","",$H991*$I991/100)</f>
        <v/>
      </c>
      <c r="K991" s="18" t="n"/>
      <c r="L991" s="35">
        <f>IF($F991="","",$F991*$K991/100)</f>
        <v/>
      </c>
      <c r="M991" s="20">
        <f>IF($A991="","",ROUNDUP(MONTH($A991)/3,0))</f>
        <v/>
      </c>
    </row>
    <row r="992">
      <c r="A992" s="33" t="n"/>
      <c r="B992" s="16" t="n"/>
      <c r="C992" s="16" t="n"/>
      <c r="D992" s="16" t="n"/>
      <c r="E992" s="16" t="n"/>
      <c r="F992" s="34" t="n"/>
      <c r="G992" s="18" t="n"/>
      <c r="H992" s="35">
        <f>IF($F992="","",$F992*$G992/100)</f>
        <v/>
      </c>
      <c r="I992" s="18" t="n"/>
      <c r="J992" s="35">
        <f>IF($F992="","",$H992*$I992/100)</f>
        <v/>
      </c>
      <c r="K992" s="18" t="n"/>
      <c r="L992" s="35">
        <f>IF($F992="","",$F992*$K992/100)</f>
        <v/>
      </c>
      <c r="M992" s="20">
        <f>IF($A992="","",ROUNDUP(MONTH($A992)/3,0))</f>
        <v/>
      </c>
    </row>
    <row r="993">
      <c r="A993" s="33" t="n"/>
      <c r="B993" s="16" t="n"/>
      <c r="C993" s="16" t="n"/>
      <c r="D993" s="16" t="n"/>
      <c r="E993" s="16" t="n"/>
      <c r="F993" s="34" t="n"/>
      <c r="G993" s="18" t="n"/>
      <c r="H993" s="35">
        <f>IF($F993="","",$F993*$G993/100)</f>
        <v/>
      </c>
      <c r="I993" s="18" t="n"/>
      <c r="J993" s="35">
        <f>IF($F993="","",$H993*$I993/100)</f>
        <v/>
      </c>
      <c r="K993" s="18" t="n"/>
      <c r="L993" s="35">
        <f>IF($F993="","",$F993*$K993/100)</f>
        <v/>
      </c>
      <c r="M993" s="20">
        <f>IF($A993="","",ROUNDUP(MONTH($A993)/3,0))</f>
        <v/>
      </c>
    </row>
    <row r="994">
      <c r="A994" s="33" t="n"/>
      <c r="B994" s="16" t="n"/>
      <c r="C994" s="16" t="n"/>
      <c r="D994" s="16" t="n"/>
      <c r="E994" s="16" t="n"/>
      <c r="F994" s="34" t="n"/>
      <c r="G994" s="18" t="n"/>
      <c r="H994" s="35">
        <f>IF($F994="","",$F994*$G994/100)</f>
        <v/>
      </c>
      <c r="I994" s="18" t="n"/>
      <c r="J994" s="35">
        <f>IF($F994="","",$H994*$I994/100)</f>
        <v/>
      </c>
      <c r="K994" s="18" t="n"/>
      <c r="L994" s="35">
        <f>IF($F994="","",$F994*$K994/100)</f>
        <v/>
      </c>
      <c r="M994" s="20">
        <f>IF($A994="","",ROUNDUP(MONTH($A994)/3,0))</f>
        <v/>
      </c>
    </row>
    <row r="995">
      <c r="A995" s="33" t="n"/>
      <c r="B995" s="16" t="n"/>
      <c r="C995" s="16" t="n"/>
      <c r="D995" s="16" t="n"/>
      <c r="E995" s="16" t="n"/>
      <c r="F995" s="34" t="n"/>
      <c r="G995" s="18" t="n"/>
      <c r="H995" s="35">
        <f>IF($F995="","",$F995*$G995/100)</f>
        <v/>
      </c>
      <c r="I995" s="18" t="n"/>
      <c r="J995" s="35">
        <f>IF($F995="","",$H995*$I995/100)</f>
        <v/>
      </c>
      <c r="K995" s="18" t="n"/>
      <c r="L995" s="35">
        <f>IF($F995="","",$F995*$K995/100)</f>
        <v/>
      </c>
      <c r="M995" s="20">
        <f>IF($A995="","",ROUNDUP(MONTH($A995)/3,0))</f>
        <v/>
      </c>
    </row>
    <row r="996">
      <c r="A996" s="33" t="n"/>
      <c r="B996" s="16" t="n"/>
      <c r="C996" s="16" t="n"/>
      <c r="D996" s="16" t="n"/>
      <c r="E996" s="16" t="n"/>
      <c r="F996" s="34" t="n"/>
      <c r="G996" s="18" t="n"/>
      <c r="H996" s="35">
        <f>IF($F996="","",$F996*$G996/100)</f>
        <v/>
      </c>
      <c r="I996" s="18" t="n"/>
      <c r="J996" s="35">
        <f>IF($F996="","",$H996*$I996/100)</f>
        <v/>
      </c>
      <c r="K996" s="18" t="n"/>
      <c r="L996" s="35">
        <f>IF($F996="","",$F996*$K996/100)</f>
        <v/>
      </c>
      <c r="M996" s="20">
        <f>IF($A996="","",ROUNDUP(MONTH($A996)/3,0))</f>
        <v/>
      </c>
    </row>
    <row r="997">
      <c r="A997" s="33" t="n"/>
      <c r="B997" s="16" t="n"/>
      <c r="C997" s="16" t="n"/>
      <c r="D997" s="16" t="n"/>
      <c r="E997" s="16" t="n"/>
      <c r="F997" s="34" t="n"/>
      <c r="G997" s="18" t="n"/>
      <c r="H997" s="35">
        <f>IF($F997="","",$F997*$G997/100)</f>
        <v/>
      </c>
      <c r="I997" s="18" t="n"/>
      <c r="J997" s="35">
        <f>IF($F997="","",$H997*$I997/100)</f>
        <v/>
      </c>
      <c r="K997" s="18" t="n"/>
      <c r="L997" s="35">
        <f>IF($F997="","",$F997*$K997/100)</f>
        <v/>
      </c>
      <c r="M997" s="20">
        <f>IF($A997="","",ROUNDUP(MONTH($A997)/3,0))</f>
        <v/>
      </c>
    </row>
    <row r="998">
      <c r="A998" s="33" t="n"/>
      <c r="B998" s="16" t="n"/>
      <c r="C998" s="16" t="n"/>
      <c r="D998" s="16" t="n"/>
      <c r="E998" s="16" t="n"/>
      <c r="F998" s="34" t="n"/>
      <c r="G998" s="18" t="n"/>
      <c r="H998" s="35">
        <f>IF($F998="","",$F998*$G998/100)</f>
        <v/>
      </c>
      <c r="I998" s="18" t="n"/>
      <c r="J998" s="35">
        <f>IF($F998="","",$H998*$I998/100)</f>
        <v/>
      </c>
      <c r="K998" s="18" t="n"/>
      <c r="L998" s="35">
        <f>IF($F998="","",$F998*$K998/100)</f>
        <v/>
      </c>
      <c r="M998" s="20">
        <f>IF($A998="","",ROUNDUP(MONTH($A998)/3,0))</f>
        <v/>
      </c>
    </row>
    <row r="999">
      <c r="A999" s="33" t="n"/>
      <c r="B999" s="16" t="n"/>
      <c r="C999" s="16" t="n"/>
      <c r="D999" s="16" t="n"/>
      <c r="E999" s="16" t="n"/>
      <c r="F999" s="34" t="n"/>
      <c r="G999" s="18" t="n"/>
      <c r="H999" s="35">
        <f>IF($F999="","",$F999*$G999/100)</f>
        <v/>
      </c>
      <c r="I999" s="18" t="n"/>
      <c r="J999" s="35">
        <f>IF($F999="","",$H999*$I999/100)</f>
        <v/>
      </c>
      <c r="K999" s="18" t="n"/>
      <c r="L999" s="35">
        <f>IF($F999="","",$F999*$K999/100)</f>
        <v/>
      </c>
      <c r="M999" s="20">
        <f>IF($A999="","",ROUNDUP(MONTH($A999)/3,0))</f>
        <v/>
      </c>
    </row>
    <row r="1000">
      <c r="A1000" s="33" t="n"/>
      <c r="B1000" s="16" t="n"/>
      <c r="C1000" s="16" t="n"/>
      <c r="D1000" s="16" t="n"/>
      <c r="E1000" s="16" t="n"/>
      <c r="F1000" s="34" t="n"/>
      <c r="G1000" s="18" t="n"/>
      <c r="H1000" s="35">
        <f>IF($F1000="","",$F1000*$G1000/100)</f>
        <v/>
      </c>
      <c r="I1000" s="18" t="n"/>
      <c r="J1000" s="35">
        <f>IF($F1000="","",$H1000*$I1000/100)</f>
        <v/>
      </c>
      <c r="K1000" s="18" t="n"/>
      <c r="L1000" s="35">
        <f>IF($F1000="","",$F1000*$K1000/100)</f>
        <v/>
      </c>
      <c r="M1000" s="20">
        <f>IF($A1000="","",ROUNDUP(MONTH($A1000)/3,0))</f>
        <v/>
      </c>
    </row>
  </sheetData>
  <mergeCells count="1">
    <mergeCell ref="A1:M1"/>
  </mergeCells>
  <dataValidations count="2">
    <dataValidation sqref="G3:G1000" showDropDown="0" showInputMessage="0" showErrorMessage="0" allowBlank="1" type="list">
      <formula1>"21,10,4,0"</formula1>
    </dataValidation>
    <dataValidation sqref="E3:E1000" showDropDown="0" showInputMessage="0" showErrorMessage="0" allowBlank="1" type="list">
      <formula1>=Listas!$D$2:$D$12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</cols>
  <sheetData>
    <row r="1" ht="28" customHeight="1">
      <c r="A1" s="13" t="inlineStr">
        <is>
          <t>RESUMEN TRIMESTRAL  ·  IVA (Modelo 303)</t>
        </is>
      </c>
    </row>
    <row r="2" ht="30" customHeight="1">
      <c r="A2" s="14" t="inlineStr">
        <is>
          <t>Trimestre</t>
        </is>
      </c>
      <c r="B2" s="14" t="inlineStr">
        <is>
          <t>IVA repercutido</t>
        </is>
      </c>
      <c r="C2" s="14" t="inlineStr">
        <is>
          <t>IVA soportado
deducible</t>
        </is>
      </c>
      <c r="D2" s="14" t="inlineStr">
        <is>
          <t>MODELO 303
(a ingresar)</t>
        </is>
      </c>
    </row>
    <row r="3">
      <c r="A3" s="5" t="inlineStr">
        <is>
          <t>T1</t>
        </is>
      </c>
      <c r="B3" s="35">
        <f>SUMIFS(Facturas!$G$3:$G$1000,Facturas!$L$3:$L$1000,1)</f>
        <v/>
      </c>
      <c r="C3" s="35">
        <f>SUMIFS(Gastos!$J$3:$J$1000,Gastos!$M$3:$M$1000,1)</f>
        <v/>
      </c>
      <c r="D3" s="36">
        <f>B3-C3</f>
        <v/>
      </c>
    </row>
    <row r="4">
      <c r="A4" s="5" t="inlineStr">
        <is>
          <t>T2</t>
        </is>
      </c>
      <c r="B4" s="35">
        <f>SUMIFS(Facturas!$G$3:$G$1000,Facturas!$L$3:$L$1000,2)</f>
        <v/>
      </c>
      <c r="C4" s="35">
        <f>SUMIFS(Gastos!$J$3:$J$1000,Gastos!$M$3:$M$1000,2)</f>
        <v/>
      </c>
      <c r="D4" s="36">
        <f>B4-C4</f>
        <v/>
      </c>
    </row>
    <row r="5">
      <c r="A5" s="5" t="inlineStr">
        <is>
          <t>T3</t>
        </is>
      </c>
      <c r="B5" s="35">
        <f>SUMIFS(Facturas!$G$3:$G$1000,Facturas!$L$3:$L$1000,3)</f>
        <v/>
      </c>
      <c r="C5" s="35">
        <f>SUMIFS(Gastos!$J$3:$J$1000,Gastos!$M$3:$M$1000,3)</f>
        <v/>
      </c>
      <c r="D5" s="36">
        <f>B5-C5</f>
        <v/>
      </c>
    </row>
    <row r="6">
      <c r="A6" s="5" t="inlineStr">
        <is>
          <t>T4</t>
        </is>
      </c>
      <c r="B6" s="35">
        <f>SUMIFS(Facturas!$G$3:$G$1000,Facturas!$L$3:$L$1000,4)</f>
        <v/>
      </c>
      <c r="C6" s="35">
        <f>SUMIFS(Gastos!$J$3:$J$1000,Gastos!$M$3:$M$1000,4)</f>
        <v/>
      </c>
      <c r="D6" s="36">
        <f>B6-C6</f>
        <v/>
      </c>
    </row>
    <row r="7">
      <c r="A7" s="22" t="inlineStr">
        <is>
          <t>AÑO</t>
        </is>
      </c>
      <c r="B7" s="37">
        <f>SUM(B3:B6)</f>
        <v/>
      </c>
      <c r="C7" s="37">
        <f>SUM(C3:C6)</f>
        <v/>
      </c>
      <c r="D7" s="37">
        <f>SUM(D3:D6)</f>
        <v/>
      </c>
    </row>
    <row r="8"/>
    <row r="9">
      <c r="A9" s="38" t="inlineStr">
        <is>
          <t>🔒 VERSIÓN GRATUITA
El cálculo AUTOMÁTICO del Modelo 130 (IRPF), el resumen anual y la Guía PDF del autónomo están en la versión completa.
Consíguela aquí:  https://TU-ENLACE-DE-VENTA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2">
    <mergeCell ref="A1:D1"/>
    <mergeCell ref="A9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0" customWidth="1" min="3" max="3"/>
    <col width="14" customWidth="1" min="4" max="4"/>
    <col width="14" customWidth="1" min="5" max="5"/>
    <col width="16" customWidth="1" min="6" max="6"/>
  </cols>
  <sheetData>
    <row r="2" ht="28" customHeight="1">
      <c r="B2" s="13" t="inlineStr">
        <is>
          <t>FACTURA</t>
        </is>
      </c>
      <c r="E2" s="5" t="inlineStr">
        <is>
          <t>Nº factura:</t>
        </is>
      </c>
      <c r="F2" s="26" t="inlineStr">
        <is>
          <t>2026-000</t>
        </is>
      </c>
    </row>
    <row r="3">
      <c r="E3" s="5" t="inlineStr">
        <is>
          <t>Fecha:</t>
        </is>
      </c>
      <c r="F3" s="26" t="inlineStr">
        <is>
          <t>2026-01-01</t>
        </is>
      </c>
    </row>
    <row r="4">
      <c r="B4" s="5" t="inlineStr">
        <is>
          <t>EMISOR</t>
        </is>
      </c>
      <c r="E4" s="5" t="inlineStr">
        <is>
          <t>CLIENTE</t>
        </is>
      </c>
    </row>
    <row r="5">
      <c r="B5">
        <f>Inicio!C6</f>
        <v/>
      </c>
      <c r="E5" s="26" t="inlineStr">
        <is>
          <t>Nombre del cliente</t>
        </is>
      </c>
    </row>
    <row r="6">
      <c r="B6">
        <f>Inicio!C7</f>
        <v/>
      </c>
      <c r="E6" s="26" t="inlineStr">
        <is>
          <t>NIF del cliente</t>
        </is>
      </c>
    </row>
    <row r="7">
      <c r="B7">
        <f>Inicio!C8</f>
        <v/>
      </c>
      <c r="E7" s="26" t="inlineStr">
        <is>
          <t>Dirección del cliente</t>
        </is>
      </c>
    </row>
    <row r="8">
      <c r="B8">
        <f>Inicio!C9</f>
        <v/>
      </c>
    </row>
    <row r="10">
      <c r="B10" s="14" t="inlineStr">
        <is>
          <t>Concepto</t>
        </is>
      </c>
      <c r="C10" s="27" t="n"/>
      <c r="D10" s="14" t="inlineStr">
        <is>
          <t>Cantidad</t>
        </is>
      </c>
      <c r="E10" s="14" t="inlineStr">
        <is>
          <t>Precio</t>
        </is>
      </c>
      <c r="F10" s="14" t="inlineStr">
        <is>
          <t>Importe</t>
        </is>
      </c>
    </row>
    <row r="11">
      <c r="B11" s="28" t="inlineStr">
        <is>
          <t>Servicio de ejemplo</t>
        </is>
      </c>
      <c r="C11" s="27" t="n"/>
      <c r="D11" s="29" t="n">
        <v>1</v>
      </c>
      <c r="E11" s="39" t="n">
        <v>1000</v>
      </c>
      <c r="F11" s="40">
        <f>IF(D11="","",D11*E11)</f>
        <v/>
      </c>
    </row>
    <row r="12">
      <c r="B12" s="28" t="n"/>
      <c r="C12" s="27" t="n"/>
      <c r="D12" s="29" t="n"/>
      <c r="E12" s="39" t="n"/>
      <c r="F12" s="40">
        <f>IF(D12="","",D12*E12)</f>
        <v/>
      </c>
    </row>
    <row r="13">
      <c r="B13" s="28" t="n"/>
      <c r="C13" s="27" t="n"/>
      <c r="D13" s="29" t="n"/>
      <c r="E13" s="39" t="n"/>
      <c r="F13" s="40">
        <f>IF(D13="","",D13*E13)</f>
        <v/>
      </c>
    </row>
    <row r="14">
      <c r="B14" s="28" t="n"/>
      <c r="C14" s="27" t="n"/>
      <c r="D14" s="29" t="n"/>
      <c r="E14" s="39" t="n"/>
      <c r="F14" s="40">
        <f>IF(D14="","",D14*E14)</f>
        <v/>
      </c>
    </row>
    <row r="15">
      <c r="B15" s="28" t="n"/>
      <c r="C15" s="27" t="n"/>
      <c r="D15" s="29" t="n"/>
      <c r="E15" s="39" t="n"/>
      <c r="F15" s="40">
        <f>IF(D15="","",D15*E15)</f>
        <v/>
      </c>
    </row>
    <row r="17">
      <c r="E17" s="5" t="inlineStr">
        <is>
          <t>Base imponible</t>
        </is>
      </c>
      <c r="F17" s="37">
        <f>SUM(F11:F16)</f>
        <v/>
      </c>
    </row>
    <row r="18">
      <c r="E18" s="5" t="inlineStr">
        <is>
          <t>IVA</t>
        </is>
      </c>
      <c r="F18" s="37">
        <f>F17*Inicio!$C$11/100</f>
        <v/>
      </c>
    </row>
    <row r="19">
      <c r="E19" s="5" t="inlineStr">
        <is>
          <t>Retención IRPF</t>
        </is>
      </c>
      <c r="F19" s="37">
        <f>-F17*Inicio!$C$12/100</f>
        <v/>
      </c>
    </row>
    <row r="20">
      <c r="E20" s="5" t="inlineStr">
        <is>
          <t>TOTAL</t>
        </is>
      </c>
      <c r="F20" s="36">
        <f>F17+F18+F19</f>
        <v/>
      </c>
    </row>
    <row r="22">
      <c r="B22" s="24" t="inlineStr">
        <is>
          <t>Factura exenta de IVA: art. 20 LIVA (elimina la fila de IVA si aplica). Conserva copia de todas tus facturas emitidas y recibidas durante 4 años.</t>
        </is>
      </c>
    </row>
    <row r="23"/>
  </sheetData>
  <mergeCells count="8">
    <mergeCell ref="B13:C13"/>
    <mergeCell ref="B22:F23"/>
    <mergeCell ref="B2:C2"/>
    <mergeCell ref="B15:C15"/>
    <mergeCell ref="B11:C11"/>
    <mergeCell ref="B10:C10"/>
    <mergeCell ref="B14:C14"/>
    <mergeCell ref="B12:C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IVA</t>
        </is>
      </c>
      <c r="B1" t="inlineStr">
        <is>
          <t>IRPF</t>
        </is>
      </c>
      <c r="C1" t="inlineStr">
        <is>
          <t>SiNo</t>
        </is>
      </c>
      <c r="D1" t="inlineStr">
        <is>
          <t>Categorias</t>
        </is>
      </c>
    </row>
    <row r="2">
      <c r="A2" t="n">
        <v>21</v>
      </c>
      <c r="B2" t="n">
        <v>15</v>
      </c>
      <c r="C2" t="inlineStr">
        <is>
          <t>Sí</t>
        </is>
      </c>
      <c r="D2" t="inlineStr">
        <is>
          <t>Suministros (luz/agua/internet)</t>
        </is>
      </c>
    </row>
    <row r="3">
      <c r="A3" t="n">
        <v>10</v>
      </c>
      <c r="B3" t="n">
        <v>7</v>
      </c>
      <c r="C3" t="inlineStr">
        <is>
          <t>No</t>
        </is>
      </c>
      <c r="D3" t="inlineStr">
        <is>
          <t>Material y software</t>
        </is>
      </c>
    </row>
    <row r="4">
      <c r="A4" t="n">
        <v>4</v>
      </c>
      <c r="B4" t="n">
        <v>1</v>
      </c>
      <c r="D4" t="inlineStr">
        <is>
          <t>Cuota autónomos (RETA)</t>
        </is>
      </c>
    </row>
    <row r="5">
      <c r="A5" t="n">
        <v>0</v>
      </c>
      <c r="B5" t="n">
        <v>0</v>
      </c>
      <c r="D5" t="inlineStr">
        <is>
          <t>Asesoría / gestoría</t>
        </is>
      </c>
    </row>
    <row r="6">
      <c r="D6" t="inlineStr">
        <is>
          <t>Marketing y publicidad</t>
        </is>
      </c>
    </row>
    <row r="7">
      <c r="D7" t="inlineStr">
        <is>
          <t>Desplazamientos</t>
        </is>
      </c>
    </row>
    <row r="8">
      <c r="D8" t="inlineStr">
        <is>
          <t>Formación</t>
        </is>
      </c>
    </row>
    <row r="9">
      <c r="D9" t="inlineStr">
        <is>
          <t>Alquiler oficina/coworking</t>
        </is>
      </c>
    </row>
    <row r="10">
      <c r="D10" t="inlineStr">
        <is>
          <t>Telefonía</t>
        </is>
      </c>
    </row>
    <row r="11">
      <c r="D11" t="inlineStr">
        <is>
          <t>Comisiones bancarias</t>
        </is>
      </c>
    </row>
    <row r="12">
      <c r="D12" t="inlineStr">
        <is>
          <t>Otros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2026-06-08T18:28:10Z</dcterms:created>
  <dcterms:modified xsi:type="dcterms:W3CDTF">2026-06-08T19:00:48Z</dcterms:modified>
</cp:coreProperties>
</file>